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/>
  <mc:AlternateContent xmlns:mc="http://schemas.openxmlformats.org/markup-compatibility/2006">
    <mc:Choice Requires="x15">
      <x15ac:absPath xmlns:x15ac="http://schemas.microsoft.com/office/spreadsheetml/2010/11/ac" url="/Users/sandaranggas/Library/CloudStorage/GoogleDrive-admin@sandarangga.com/My Drive/Pribadi (1)/"/>
    </mc:Choice>
  </mc:AlternateContent>
  <xr:revisionPtr revIDLastSave="0" documentId="13_ncr:1_{8DF47169-80B4-7A45-812E-74E4032F56A1}" xr6:coauthVersionLast="47" xr6:coauthVersionMax="47" xr10:uidLastSave="{00000000-0000-0000-0000-000000000000}"/>
  <bookViews>
    <workbookView xWindow="0" yWindow="660" windowWidth="30240" windowHeight="17480" xr2:uid="{00000000-000D-0000-FFFF-FFFF00000000}"/>
  </bookViews>
  <sheets>
    <sheet name="Sheet1" sheetId="1" r:id="rId1"/>
    <sheet name="Sheet2" sheetId="2" r:id="rId2"/>
    <sheet name="Sheet3" sheetId="3" r:id="rId3"/>
    <sheet name="Sheet5" sheetId="6" r:id="rId4"/>
  </sheets>
  <externalReferences>
    <externalReference r:id="rId5"/>
  </externalReferences>
  <definedNames>
    <definedName name="AkunHPP">'[1]Daftar Akun Keuangan'!#REF!</definedName>
    <definedName name="AkunLR">'[1]Daftar Akun Keuangan'!$D$53:$D$123</definedName>
    <definedName name="AkunPenerimaanKas">'[1]Daftar Akun Keuangan'!$K$36:$K$44</definedName>
    <definedName name="AkunPenPeng">'[1]Daftar Akun Keuangan'!$K$132:$K$146</definedName>
    <definedName name="AkunRekening">'[1]Daftar Akun Keuangan'!$D$9:$D$16</definedName>
    <definedName name="AkunRekeningAset">'[1]Daftar Akun Keuangan'!$K$153:$K$161</definedName>
    <definedName name="AkunSemua">'[1]Daftar Akun Keuangan'!$D$6:$D$123</definedName>
    <definedName name="Alamat">'[1]Data Yayasan'!$D$12</definedName>
    <definedName name="AngkaTerbilang">[1]Kuitansi!$F$23</definedName>
    <definedName name="AsetPenyusutan">'[1]Daftar Akun Keuangan'!$D$24:$D$27</definedName>
    <definedName name="Batasan">'[1]Daftar Akun Keuangan'!$K$149:$K$150</definedName>
    <definedName name="Bendahara">'[1]Data Yayasan'!$D$24</definedName>
    <definedName name="DaftarDonatur">#REF!</definedName>
    <definedName name="Hibah">'[1]Daftar Akun Keuangan'!$D$66</definedName>
    <definedName name="HurufTerbilang">[1]Kuitansi!$AE$31</definedName>
    <definedName name="KatDiMuka">'[1]Setup | Pembayaran di Muka'!$C$8:$C$9</definedName>
    <definedName name="KategoriPengeluaranKas">'[1]Laporan Program'!$C$59:$C$114</definedName>
    <definedName name="Ketua">'[1]Data Yayasan'!$D$22</definedName>
    <definedName name="KotaUsaha">'[1]Data Yayasan'!$D$13</definedName>
    <definedName name="LabaRugiKategoriPendapatan">'[1]Daftar Akun Keuangan'!$D$55:$D$79</definedName>
    <definedName name="ListCetakKuitansi">[1]Kuitansi!#REF!</definedName>
    <definedName name="MaxPenDiMuk">'[1]Penerimaan Lain'!$F$5</definedName>
    <definedName name="NamaDagang">'[1]Data Yayasan'!#REF!</definedName>
    <definedName name="NamaJasa">'[1]Data Yayasan'!#REF!</definedName>
    <definedName name="NamaMasjid">'[1]Data Yayasan'!$D$11</definedName>
    <definedName name="NamaProgram">'[1]Daftar Program'!$D$7:$D$26</definedName>
    <definedName name="NamaSekolah">'[1]Data Yayasan'!#REF!</definedName>
    <definedName name="NamaUsaha">'[1]Data Yayasan'!$D$10</definedName>
    <definedName name="NetProfit">'[1]Laporan Penghasilan'!$D$83</definedName>
    <definedName name="NoBuktiKuitansi">'[1]No Tanda Terima'!$C$7:$C$5006</definedName>
    <definedName name="NoInv">'[1]No Tanda Terima'!#REF!</definedName>
    <definedName name="NoPOy">'[1]No Tanda Terima'!#REF!</definedName>
    <definedName name="Pembatasan">'[1]Daftar Akun Keuangan'!$K$150</definedName>
    <definedName name="PersediaanProduksi">"                  © Akoontan.com"</definedName>
    <definedName name="PilihBukuKas">'[1]Buku Kas'!$E$10</definedName>
    <definedName name="PilihBulanBukuKas">'[1]Buku Kas'!$E$11</definedName>
    <definedName name="PilihTahunKas">'[1]Buku Kas'!$E$12</definedName>
    <definedName name="Propinsi">'[1]Data Yayasan'!$D$14</definedName>
    <definedName name="RekeningKasUtang">'[1]Daftar Akun Keuangan'!$K$24:$K$33</definedName>
    <definedName name="RekMutaDa">'[1]Mutasi Rekening'!$D$5</definedName>
    <definedName name="RekMutaKe">'[1]Mutasi Rekening'!$E$5</definedName>
    <definedName name="RekPelu">'[1]Penerimaan | Pengeluaran'!$H$5</definedName>
    <definedName name="RekPeneLa">'[1]Penerimaan Lain'!$G$5</definedName>
    <definedName name="RekPengLa">'[1]Pengeluaran Lain'!$G$5</definedName>
    <definedName name="RekPengPin">'[1]Penerimaan | Pengeluaran'!$J$5</definedName>
    <definedName name="RekPenyu">[1]Penyusutan!$F$5</definedName>
    <definedName name="Sekretaris">'[1]Data Yayasan'!$D$23</definedName>
    <definedName name="SetupDonatur">#REF!</definedName>
    <definedName name="TabelSaldoAwalKas">'[1]Daftar Akun Keuangan'!$D$9:$E$16</definedName>
    <definedName name="TahunKas">'[1]Buku Kas'!$B$5:$C$5</definedName>
    <definedName name="TanggalAwal">'[1]Data Yayasan'!$B$7</definedName>
    <definedName name="TanggalTT">'[1]Data Yayasan'!$D$27</definedName>
    <definedName name="TanpaPembatasan">'[1]Daftar Akun Keuangan'!$K$149</definedName>
    <definedName name="Telepon">'[1]Data Yayasan'!$D$16</definedName>
    <definedName name="terbilang">[1]Kuitansi!$AJ$9:$AK$31</definedName>
    <definedName name="UnitUsaha">'[1]Data Yayasan'!$D$10:$D$11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693" i="1" l="1"/>
  <c r="F690" i="1"/>
  <c r="F689" i="1"/>
  <c r="F687" i="1"/>
  <c r="F688" i="1" s="1"/>
  <c r="F686" i="1"/>
  <c r="F685" i="1"/>
  <c r="C341" i="2"/>
  <c r="C340" i="2"/>
  <c r="C339" i="2"/>
  <c r="C338" i="2"/>
  <c r="C337" i="2"/>
  <c r="C336" i="2"/>
  <c r="C335" i="2"/>
  <c r="C334" i="2"/>
  <c r="F24" i="3"/>
  <c r="F7" i="3"/>
  <c r="F8" i="3" s="1"/>
  <c r="F9" i="3" s="1"/>
  <c r="F10" i="3" s="1"/>
  <c r="F11" i="3" s="1"/>
  <c r="F12" i="3" s="1"/>
  <c r="F13" i="3" s="1"/>
  <c r="F14" i="3" s="1"/>
  <c r="F15" i="3" s="1"/>
  <c r="F16" i="3" s="1"/>
  <c r="F17" i="3" s="1"/>
  <c r="F18" i="3" s="1"/>
  <c r="F19" i="3" s="1"/>
  <c r="F20" i="3" s="1"/>
  <c r="F21" i="3" s="1"/>
  <c r="F22" i="3" s="1"/>
  <c r="F5" i="3"/>
  <c r="C329" i="2"/>
  <c r="C328" i="2"/>
  <c r="C327" i="2"/>
  <c r="C326" i="2"/>
  <c r="C325" i="2"/>
  <c r="C324" i="2"/>
  <c r="C323" i="2"/>
  <c r="C322" i="2"/>
  <c r="C317" i="2"/>
  <c r="C316" i="2"/>
  <c r="C315" i="2"/>
  <c r="C314" i="2"/>
  <c r="C313" i="2"/>
  <c r="C312" i="2"/>
  <c r="C311" i="2"/>
  <c r="C310" i="2"/>
  <c r="E307" i="2"/>
  <c r="C307" i="2"/>
  <c r="C305" i="2"/>
  <c r="C303" i="2"/>
  <c r="C302" i="2"/>
  <c r="C301" i="2"/>
  <c r="C300" i="2"/>
  <c r="C299" i="2"/>
  <c r="C342" i="2" l="1"/>
  <c r="C330" i="2"/>
  <c r="C318" i="2"/>
  <c r="C294" i="2"/>
  <c r="C293" i="2"/>
  <c r="C292" i="2"/>
  <c r="C291" i="2"/>
  <c r="C290" i="2"/>
  <c r="C289" i="2"/>
  <c r="C288" i="2"/>
  <c r="C287" i="2"/>
  <c r="C284" i="2"/>
  <c r="C283" i="2"/>
  <c r="C282" i="2"/>
  <c r="C281" i="2"/>
  <c r="C280" i="2"/>
  <c r="C279" i="2"/>
  <c r="C278" i="2"/>
  <c r="C277" i="2"/>
  <c r="C276" i="2"/>
  <c r="C268" i="2"/>
  <c r="C271" i="2"/>
  <c r="C270" i="2"/>
  <c r="C269" i="2"/>
  <c r="C267" i="2"/>
  <c r="C266" i="2"/>
  <c r="C265" i="2"/>
  <c r="C264" i="2"/>
  <c r="C260" i="2"/>
  <c r="C259" i="2"/>
  <c r="C258" i="2"/>
  <c r="C257" i="2"/>
  <c r="C256" i="2"/>
  <c r="C255" i="2"/>
  <c r="C254" i="2"/>
  <c r="C253" i="2"/>
  <c r="C252" i="2"/>
  <c r="C247" i="2"/>
  <c r="C246" i="2"/>
  <c r="C245" i="2"/>
  <c r="C244" i="2"/>
  <c r="C243" i="2"/>
  <c r="C242" i="2"/>
  <c r="C241" i="2"/>
  <c r="C235" i="2"/>
  <c r="C234" i="2"/>
  <c r="C233" i="2"/>
  <c r="C232" i="2"/>
  <c r="C231" i="2"/>
  <c r="C230" i="2"/>
  <c r="C229" i="2"/>
  <c r="C224" i="2"/>
  <c r="C223" i="2"/>
  <c r="C222" i="2"/>
  <c r="C221" i="2"/>
  <c r="C220" i="2"/>
  <c r="C219" i="2"/>
  <c r="C218" i="2"/>
  <c r="J561" i="1"/>
  <c r="C213" i="2"/>
  <c r="C212" i="2"/>
  <c r="C211" i="2"/>
  <c r="C210" i="2"/>
  <c r="C209" i="2"/>
  <c r="C208" i="2"/>
  <c r="C207" i="2"/>
  <c r="C202" i="2"/>
  <c r="C201" i="2"/>
  <c r="C200" i="2"/>
  <c r="C199" i="2"/>
  <c r="C198" i="2"/>
  <c r="C197" i="2"/>
  <c r="C196" i="2"/>
  <c r="C204" i="2" s="1"/>
  <c r="C191" i="2"/>
  <c r="C190" i="2"/>
  <c r="C189" i="2"/>
  <c r="C188" i="2"/>
  <c r="C187" i="2"/>
  <c r="C186" i="2"/>
  <c r="C185" i="2"/>
  <c r="C193" i="2" s="1"/>
  <c r="C180" i="2"/>
  <c r="C179" i="2"/>
  <c r="C178" i="2"/>
  <c r="C177" i="2"/>
  <c r="C176" i="2"/>
  <c r="C175" i="2"/>
  <c r="C174" i="2"/>
  <c r="C169" i="2"/>
  <c r="C168" i="2"/>
  <c r="C167" i="2"/>
  <c r="C166" i="2"/>
  <c r="C165" i="2"/>
  <c r="C164" i="2"/>
  <c r="C163" i="2"/>
  <c r="C158" i="2"/>
  <c r="C157" i="2"/>
  <c r="C156" i="2"/>
  <c r="C155" i="2"/>
  <c r="C154" i="2"/>
  <c r="C153" i="2"/>
  <c r="C152" i="2"/>
  <c r="C147" i="2"/>
  <c r="C146" i="2"/>
  <c r="C145" i="2"/>
  <c r="C144" i="2"/>
  <c r="C143" i="2"/>
  <c r="C142" i="2"/>
  <c r="C141" i="2"/>
  <c r="C136" i="2"/>
  <c r="C135" i="2"/>
  <c r="C134" i="2"/>
  <c r="C133" i="2"/>
  <c r="C132" i="2"/>
  <c r="C131" i="2"/>
  <c r="C130" i="2"/>
  <c r="C125" i="2"/>
  <c r="C124" i="2"/>
  <c r="C123" i="2"/>
  <c r="C122" i="2"/>
  <c r="C121" i="2"/>
  <c r="C120" i="2"/>
  <c r="C119" i="2"/>
  <c r="C114" i="2"/>
  <c r="C113" i="2"/>
  <c r="C112" i="2"/>
  <c r="C111" i="2"/>
  <c r="C110" i="2"/>
  <c r="C109" i="2"/>
  <c r="C108" i="2"/>
  <c r="C103" i="2"/>
  <c r="C102" i="2"/>
  <c r="C101" i="2"/>
  <c r="C100" i="2"/>
  <c r="C99" i="2"/>
  <c r="C98" i="2"/>
  <c r="C97" i="2"/>
  <c r="C91" i="2"/>
  <c r="C90" i="2"/>
  <c r="C89" i="2"/>
  <c r="C88" i="2"/>
  <c r="C87" i="2"/>
  <c r="C86" i="2"/>
  <c r="C82" i="2"/>
  <c r="C81" i="2"/>
  <c r="C80" i="2"/>
  <c r="C79" i="2"/>
  <c r="C78" i="2"/>
  <c r="C77" i="2"/>
  <c r="C76" i="2"/>
  <c r="C75" i="2"/>
  <c r="C74" i="2"/>
  <c r="C69" i="2"/>
  <c r="C68" i="2"/>
  <c r="C67" i="2"/>
  <c r="C66" i="2"/>
  <c r="C65" i="2"/>
  <c r="C64" i="2"/>
  <c r="C63" i="2"/>
  <c r="C59" i="2"/>
  <c r="C58" i="2"/>
  <c r="C57" i="2"/>
  <c r="C56" i="2"/>
  <c r="C55" i="2"/>
  <c r="C54" i="2"/>
  <c r="C53" i="2"/>
  <c r="C50" i="2"/>
  <c r="C49" i="2"/>
  <c r="C48" i="2"/>
  <c r="C47" i="2"/>
  <c r="C46" i="2"/>
  <c r="C45" i="2"/>
  <c r="C44" i="2"/>
  <c r="C43" i="2"/>
  <c r="C41" i="2"/>
  <c r="C40" i="2"/>
  <c r="C39" i="2"/>
  <c r="C38" i="2"/>
  <c r="C37" i="2"/>
  <c r="C36" i="2"/>
  <c r="C35" i="2"/>
  <c r="C34" i="2"/>
  <c r="C31" i="2"/>
  <c r="C30" i="2"/>
  <c r="C29" i="2"/>
  <c r="C28" i="2"/>
  <c r="C24" i="2"/>
  <c r="C27" i="2"/>
  <c r="C26" i="2"/>
  <c r="C25" i="2"/>
  <c r="C22" i="2"/>
  <c r="C21" i="2"/>
  <c r="C20" i="2"/>
  <c r="C19" i="2"/>
  <c r="C17" i="2"/>
  <c r="C11" i="2"/>
  <c r="C12" i="2"/>
  <c r="C13" i="2"/>
  <c r="C14" i="2"/>
  <c r="C15" i="2"/>
  <c r="C16" i="2"/>
  <c r="C10" i="2"/>
  <c r="C8" i="2"/>
  <c r="C3" i="2"/>
  <c r="C4" i="2"/>
  <c r="C5" i="2"/>
  <c r="C6" i="2"/>
  <c r="C7" i="2"/>
  <c r="C2" i="2"/>
  <c r="F11" i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F106" i="1" s="1"/>
  <c r="F107" i="1" s="1"/>
  <c r="F108" i="1" s="1"/>
  <c r="F109" i="1" s="1"/>
  <c r="F110" i="1" s="1"/>
  <c r="F111" i="1" s="1"/>
  <c r="F112" i="1" s="1"/>
  <c r="F113" i="1" s="1"/>
  <c r="F114" i="1" s="1"/>
  <c r="F115" i="1" s="1"/>
  <c r="F116" i="1" s="1"/>
  <c r="F117" i="1" s="1"/>
  <c r="F118" i="1" s="1"/>
  <c r="F119" i="1" s="1"/>
  <c r="F120" i="1" s="1"/>
  <c r="F121" i="1" s="1"/>
  <c r="F122" i="1" s="1"/>
  <c r="F123" i="1" s="1"/>
  <c r="F124" i="1" s="1"/>
  <c r="F125" i="1" s="1"/>
  <c r="F126" i="1" s="1"/>
  <c r="F127" i="1" s="1"/>
  <c r="F128" i="1" s="1"/>
  <c r="F129" i="1" s="1"/>
  <c r="F130" i="1" s="1"/>
  <c r="F131" i="1" s="1"/>
  <c r="F132" i="1" s="1"/>
  <c r="F133" i="1" s="1"/>
  <c r="F134" i="1" s="1"/>
  <c r="F135" i="1" s="1"/>
  <c r="F136" i="1" s="1"/>
  <c r="F137" i="1" s="1"/>
  <c r="F138" i="1" s="1"/>
  <c r="F139" i="1" s="1"/>
  <c r="F140" i="1" s="1"/>
  <c r="F141" i="1" s="1"/>
  <c r="F142" i="1" s="1"/>
  <c r="F143" i="1" s="1"/>
  <c r="F144" i="1" s="1"/>
  <c r="F145" i="1" s="1"/>
  <c r="F146" i="1" s="1"/>
  <c r="F147" i="1" s="1"/>
  <c r="F148" i="1" s="1"/>
  <c r="F6" i="3" l="1"/>
  <c r="C295" i="2"/>
  <c r="C272" i="2"/>
  <c r="C249" i="2"/>
  <c r="C237" i="2"/>
  <c r="C226" i="2"/>
  <c r="C215" i="2"/>
  <c r="C182" i="2"/>
  <c r="C171" i="2"/>
  <c r="C160" i="2"/>
  <c r="C149" i="2"/>
  <c r="C138" i="2"/>
  <c r="C127" i="2"/>
  <c r="C116" i="2"/>
  <c r="C105" i="2"/>
  <c r="C94" i="2"/>
  <c r="C70" i="2"/>
  <c r="C60" i="2"/>
  <c r="F156" i="1"/>
  <c r="F157" i="1" s="1"/>
  <c r="F158" i="1" s="1"/>
  <c r="F159" i="1" s="1"/>
  <c r="F160" i="1" s="1"/>
  <c r="F161" i="1" s="1"/>
  <c r="F162" i="1" s="1"/>
  <c r="F163" i="1" s="1"/>
  <c r="F164" i="1" s="1"/>
  <c r="F165" i="1" s="1"/>
  <c r="F166" i="1" s="1"/>
  <c r="F167" i="1" s="1"/>
  <c r="F168" i="1" s="1"/>
  <c r="F169" i="1" s="1"/>
  <c r="F170" i="1" s="1"/>
  <c r="F171" i="1" s="1"/>
  <c r="F172" i="1" s="1"/>
  <c r="F173" i="1" s="1"/>
  <c r="F174" i="1" s="1"/>
  <c r="F175" i="1" s="1"/>
  <c r="F176" i="1" s="1"/>
  <c r="F177" i="1" s="1"/>
  <c r="F178" i="1" s="1"/>
  <c r="F179" i="1" s="1"/>
  <c r="F180" i="1" s="1"/>
  <c r="F181" i="1" s="1"/>
  <c r="F182" i="1" s="1"/>
  <c r="F183" i="1" s="1"/>
  <c r="F184" i="1" s="1"/>
  <c r="F185" i="1" s="1"/>
  <c r="F186" i="1" s="1"/>
  <c r="F187" i="1" s="1"/>
  <c r="F188" i="1" s="1"/>
  <c r="F189" i="1" s="1"/>
  <c r="F190" i="1" s="1"/>
  <c r="F191" i="1" s="1"/>
  <c r="F192" i="1" s="1"/>
  <c r="F193" i="1" s="1"/>
  <c r="F194" i="1" s="1"/>
  <c r="F195" i="1" s="1"/>
  <c r="F196" i="1" s="1"/>
  <c r="F197" i="1" s="1"/>
  <c r="F198" i="1" s="1"/>
  <c r="F199" i="1" s="1"/>
  <c r="F200" i="1" s="1"/>
  <c r="F201" i="1" s="1"/>
  <c r="F202" i="1" s="1"/>
  <c r="F203" i="1" s="1"/>
  <c r="F204" i="1" s="1"/>
  <c r="F205" i="1" s="1"/>
  <c r="F206" i="1" s="1"/>
  <c r="F207" i="1" s="1"/>
  <c r="F208" i="1" s="1"/>
  <c r="F209" i="1" s="1"/>
  <c r="F210" i="1" s="1"/>
  <c r="F211" i="1" s="1"/>
  <c r="F212" i="1" s="1"/>
  <c r="F213" i="1" s="1"/>
  <c r="F214" i="1" s="1"/>
  <c r="F215" i="1" s="1"/>
  <c r="F216" i="1" s="1"/>
  <c r="F217" i="1" s="1"/>
  <c r="F218" i="1" s="1"/>
  <c r="F219" i="1" s="1"/>
  <c r="F220" i="1" s="1"/>
  <c r="F221" i="1" s="1"/>
  <c r="F222" i="1" s="1"/>
  <c r="F223" i="1" s="1"/>
  <c r="F224" i="1" s="1"/>
  <c r="F225" i="1" s="1"/>
  <c r="F226" i="1" s="1"/>
  <c r="F227" i="1" s="1"/>
  <c r="F228" i="1" s="1"/>
  <c r="F229" i="1" s="1"/>
  <c r="F230" i="1" s="1"/>
  <c r="F231" i="1" s="1"/>
  <c r="F232" i="1" s="1"/>
  <c r="F233" i="1" s="1"/>
  <c r="F234" i="1" s="1"/>
  <c r="F235" i="1" s="1"/>
  <c r="F236" i="1" s="1"/>
  <c r="F237" i="1" s="1"/>
  <c r="F238" i="1" s="1"/>
  <c r="F239" i="1" s="1"/>
  <c r="F240" i="1" s="1"/>
  <c r="F241" i="1" s="1"/>
  <c r="F242" i="1" s="1"/>
  <c r="F243" i="1" s="1"/>
  <c r="F244" i="1" s="1"/>
  <c r="F245" i="1" s="1"/>
  <c r="F246" i="1" s="1"/>
  <c r="F247" i="1" s="1"/>
  <c r="F248" i="1" s="1"/>
  <c r="F249" i="1" s="1"/>
  <c r="F250" i="1" s="1"/>
  <c r="F251" i="1" s="1"/>
  <c r="F252" i="1" s="1"/>
  <c r="F253" i="1" s="1"/>
  <c r="F254" i="1" s="1"/>
  <c r="F255" i="1" s="1"/>
  <c r="F256" i="1" s="1"/>
  <c r="F257" i="1" s="1"/>
  <c r="F258" i="1" s="1"/>
  <c r="F259" i="1" s="1"/>
  <c r="F260" i="1" s="1"/>
  <c r="F261" i="1" s="1"/>
  <c r="F262" i="1" s="1"/>
  <c r="F263" i="1" s="1"/>
  <c r="F264" i="1" s="1"/>
  <c r="F265" i="1" s="1"/>
  <c r="F266" i="1" s="1"/>
  <c r="F267" i="1" s="1"/>
  <c r="F268" i="1" s="1"/>
  <c r="F269" i="1" s="1"/>
  <c r="F270" i="1" s="1"/>
  <c r="F271" i="1" s="1"/>
  <c r="F272" i="1" s="1"/>
  <c r="F273" i="1" s="1"/>
  <c r="F274" i="1" s="1"/>
  <c r="F275" i="1" s="1"/>
  <c r="F276" i="1" s="1"/>
  <c r="F277" i="1" s="1"/>
  <c r="F278" i="1" s="1"/>
  <c r="F279" i="1" s="1"/>
  <c r="F280" i="1" s="1"/>
  <c r="F281" i="1" s="1"/>
  <c r="F282" i="1" s="1"/>
  <c r="F283" i="1" s="1"/>
  <c r="F284" i="1" s="1"/>
  <c r="F285" i="1" s="1"/>
  <c r="F286" i="1" s="1"/>
  <c r="F287" i="1" s="1"/>
  <c r="F288" i="1" s="1"/>
  <c r="F289" i="1" s="1"/>
  <c r="F290" i="1" s="1"/>
  <c r="F149" i="1"/>
  <c r="F150" i="1" s="1"/>
  <c r="F151" i="1" s="1"/>
  <c r="F152" i="1" s="1"/>
  <c r="F153" i="1" s="1"/>
  <c r="F154" i="1" s="1"/>
  <c r="F155" i="1" s="1"/>
  <c r="F291" i="1" l="1"/>
  <c r="F292" i="1" s="1"/>
  <c r="F293" i="1" s="1"/>
  <c r="F294" i="1" s="1"/>
  <c r="F295" i="1" s="1"/>
  <c r="F296" i="1" l="1"/>
  <c r="F297" i="1" l="1"/>
  <c r="F298" i="1" s="1"/>
  <c r="F299" i="1" s="1"/>
  <c r="F301" i="1" l="1"/>
  <c r="F302" i="1" s="1"/>
  <c r="F303" i="1" s="1"/>
  <c r="F304" i="1" s="1"/>
  <c r="F305" i="1" s="1"/>
  <c r="F306" i="1" s="1"/>
  <c r="F307" i="1" s="1"/>
  <c r="F308" i="1" s="1"/>
  <c r="F309" i="1" s="1"/>
  <c r="F310" i="1" s="1"/>
  <c r="F311" i="1" s="1"/>
  <c r="F312" i="1" s="1"/>
  <c r="F300" i="1"/>
  <c r="F313" i="1" l="1"/>
  <c r="F314" i="1" s="1"/>
  <c r="F315" i="1" s="1"/>
  <c r="F316" i="1" s="1"/>
  <c r="F317" i="1" s="1"/>
  <c r="F318" i="1" s="1"/>
  <c r="F319" i="1" s="1"/>
  <c r="F320" i="1" s="1"/>
  <c r="F321" i="1" s="1"/>
  <c r="F322" i="1" s="1"/>
  <c r="F323" i="1" s="1"/>
  <c r="F324" i="1" s="1"/>
  <c r="F325" i="1" s="1"/>
  <c r="F326" i="1" s="1"/>
  <c r="F327" i="1" s="1"/>
  <c r="F328" i="1" s="1"/>
  <c r="F329" i="1" s="1"/>
  <c r="F330" i="1" s="1"/>
  <c r="F331" i="1" s="1"/>
  <c r="F332" i="1" s="1"/>
  <c r="F333" i="1" s="1"/>
  <c r="F334" i="1" s="1"/>
  <c r="F335" i="1" s="1"/>
  <c r="F336" i="1" s="1"/>
  <c r="F337" i="1" s="1"/>
  <c r="F338" i="1" s="1"/>
  <c r="F339" i="1" s="1"/>
  <c r="F340" i="1" s="1"/>
  <c r="F341" i="1" s="1"/>
  <c r="F342" i="1" s="1"/>
  <c r="F343" i="1" s="1"/>
  <c r="F344" i="1" s="1"/>
  <c r="F345" i="1" s="1"/>
  <c r="F346" i="1" s="1"/>
  <c r="F347" i="1" s="1"/>
  <c r="F348" i="1" s="1"/>
  <c r="F349" i="1" s="1"/>
  <c r="F350" i="1" s="1"/>
  <c r="F351" i="1" s="1"/>
  <c r="F352" i="1" s="1"/>
  <c r="F353" i="1" s="1"/>
  <c r="F354" i="1" s="1"/>
  <c r="F355" i="1" s="1"/>
  <c r="F356" i="1" s="1"/>
  <c r="F357" i="1" s="1"/>
  <c r="F358" i="1" s="1"/>
  <c r="F359" i="1" s="1"/>
  <c r="F360" i="1" s="1"/>
  <c r="F361" i="1" s="1"/>
  <c r="F362" i="1" s="1"/>
  <c r="F363" i="1" s="1"/>
  <c r="F364" i="1" s="1"/>
  <c r="F365" i="1" s="1"/>
  <c r="F366" i="1" s="1"/>
  <c r="F367" i="1" s="1"/>
  <c r="F368" i="1" s="1"/>
  <c r="F369" i="1" s="1"/>
  <c r="F370" i="1" s="1"/>
  <c r="F371" i="1" s="1"/>
  <c r="F372" i="1" s="1"/>
  <c r="F373" i="1" s="1"/>
  <c r="F374" i="1" s="1"/>
  <c r="F375" i="1" s="1"/>
  <c r="F376" i="1" s="1"/>
  <c r="F377" i="1" s="1"/>
  <c r="F378" i="1" s="1"/>
  <c r="F379" i="1" s="1"/>
  <c r="F380" i="1" s="1"/>
  <c r="F381" i="1" s="1"/>
  <c r="F382" i="1" s="1"/>
  <c r="F383" i="1" s="1"/>
  <c r="F384" i="1" s="1"/>
  <c r="F385" i="1" s="1"/>
  <c r="F386" i="1" s="1"/>
  <c r="F387" i="1" s="1"/>
  <c r="F388" i="1" s="1"/>
  <c r="F389" i="1" s="1"/>
  <c r="F390" i="1" s="1"/>
  <c r="F391" i="1" s="1"/>
  <c r="F392" i="1" s="1"/>
  <c r="F393" i="1" s="1"/>
  <c r="F394" i="1" s="1"/>
  <c r="F395" i="1" s="1"/>
  <c r="F396" i="1" s="1"/>
  <c r="F397" i="1" s="1"/>
  <c r="F398" i="1" s="1"/>
  <c r="F399" i="1" s="1"/>
  <c r="F400" i="1" s="1"/>
  <c r="F401" i="1" s="1"/>
  <c r="F402" i="1" s="1"/>
  <c r="F403" i="1" s="1"/>
  <c r="F404" i="1" s="1"/>
  <c r="F405" i="1" s="1"/>
  <c r="F406" i="1" s="1"/>
  <c r="F407" i="1" s="1"/>
  <c r="F408" i="1" s="1"/>
  <c r="F409" i="1" s="1"/>
  <c r="F410" i="1" s="1"/>
  <c r="F411" i="1" s="1"/>
  <c r="F412" i="1" s="1"/>
  <c r="F413" i="1" s="1"/>
  <c r="F414" i="1" s="1"/>
  <c r="F415" i="1" s="1"/>
  <c r="F416" i="1" s="1"/>
  <c r="F417" i="1" s="1"/>
  <c r="F418" i="1" s="1"/>
  <c r="F419" i="1" s="1"/>
  <c r="F420" i="1" s="1"/>
  <c r="F421" i="1" s="1"/>
  <c r="F422" i="1" s="1"/>
  <c r="F423" i="1" s="1"/>
  <c r="F424" i="1" s="1"/>
  <c r="F425" i="1" s="1"/>
  <c r="F426" i="1" s="1"/>
  <c r="F427" i="1" s="1"/>
  <c r="F428" i="1" s="1"/>
  <c r="F429" i="1" s="1"/>
  <c r="F430" i="1" s="1"/>
  <c r="F431" i="1" s="1"/>
  <c r="F432" i="1" s="1"/>
  <c r="F433" i="1" s="1"/>
  <c r="F434" i="1" s="1"/>
  <c r="F435" i="1" s="1"/>
  <c r="F436" i="1" s="1"/>
  <c r="F437" i="1" s="1"/>
  <c r="F438" i="1" s="1"/>
  <c r="F439" i="1" s="1"/>
  <c r="F440" i="1" s="1"/>
  <c r="F441" i="1" s="1"/>
  <c r="F442" i="1" s="1"/>
  <c r="F443" i="1" l="1"/>
  <c r="F444" i="1" s="1"/>
  <c r="F445" i="1" s="1"/>
  <c r="F446" i="1" s="1"/>
  <c r="F447" i="1" s="1"/>
  <c r="F448" i="1" s="1"/>
  <c r="F449" i="1" s="1"/>
  <c r="F450" i="1" s="1"/>
  <c r="F451" i="1" s="1"/>
  <c r="F452" i="1" s="1"/>
  <c r="F453" i="1" l="1"/>
  <c r="F454" i="1" s="1"/>
  <c r="F455" i="1" s="1"/>
  <c r="F456" i="1" s="1"/>
  <c r="F457" i="1" s="1"/>
  <c r="F458" i="1" s="1"/>
  <c r="F459" i="1" s="1"/>
  <c r="F460" i="1" s="1"/>
  <c r="F461" i="1" s="1"/>
  <c r="F462" i="1" s="1"/>
  <c r="F463" i="1" s="1"/>
  <c r="F464" i="1" s="1"/>
  <c r="F465" i="1" s="1"/>
  <c r="F466" i="1" s="1"/>
  <c r="F467" i="1" s="1"/>
  <c r="F468" i="1" l="1"/>
  <c r="F469" i="1" s="1"/>
  <c r="F470" i="1" s="1"/>
  <c r="F471" i="1" s="1"/>
  <c r="F472" i="1" s="1"/>
  <c r="F473" i="1" l="1"/>
  <c r="F474" i="1" s="1"/>
  <c r="F475" i="1" s="1"/>
  <c r="F476" i="1" s="1"/>
  <c r="F477" i="1" s="1"/>
  <c r="F478" i="1" s="1"/>
  <c r="F479" i="1" s="1"/>
  <c r="F480" i="1" s="1"/>
  <c r="F481" i="1" s="1"/>
  <c r="F482" i="1" s="1"/>
  <c r="F483" i="1" l="1"/>
  <c r="F484" i="1" l="1"/>
  <c r="F485" i="1" s="1"/>
  <c r="F486" i="1" s="1"/>
  <c r="F487" i="1" s="1"/>
  <c r="F488" i="1" s="1"/>
  <c r="F489" i="1" s="1"/>
  <c r="F490" i="1" s="1"/>
  <c r="F491" i="1" s="1"/>
  <c r="F492" i="1" s="1"/>
  <c r="F493" i="1" s="1"/>
  <c r="F494" i="1" s="1"/>
  <c r="F495" i="1" s="1"/>
  <c r="F496" i="1" s="1"/>
  <c r="F497" i="1" s="1"/>
  <c r="F498" i="1" s="1"/>
  <c r="F499" i="1" s="1"/>
  <c r="F500" i="1" s="1"/>
  <c r="F501" i="1" s="1"/>
  <c r="F502" i="1" s="1"/>
  <c r="F503" i="1" s="1"/>
  <c r="F504" i="1" s="1"/>
  <c r="F505" i="1" s="1"/>
  <c r="F506" i="1" s="1"/>
  <c r="F507" i="1" s="1"/>
  <c r="F508" i="1" s="1"/>
  <c r="F509" i="1" s="1"/>
  <c r="F510" i="1" s="1"/>
  <c r="F511" i="1" s="1"/>
  <c r="F512" i="1" s="1"/>
  <c r="F513" i="1" s="1"/>
  <c r="F514" i="1" s="1"/>
  <c r="F515" i="1" s="1"/>
  <c r="F516" i="1" s="1"/>
  <c r="F517" i="1" s="1"/>
  <c r="F518" i="1" s="1"/>
  <c r="F519" i="1" s="1"/>
  <c r="F520" i="1" s="1"/>
  <c r="F521" i="1" s="1"/>
  <c r="F522" i="1" s="1"/>
  <c r="F523" i="1" s="1"/>
  <c r="F524" i="1" s="1"/>
  <c r="F525" i="1" s="1"/>
  <c r="F526" i="1" s="1"/>
  <c r="F527" i="1" s="1"/>
  <c r="F528" i="1" s="1"/>
  <c r="F529" i="1" s="1"/>
  <c r="F530" i="1" s="1"/>
  <c r="F531" i="1" s="1"/>
  <c r="F532" i="1" l="1"/>
  <c r="F533" i="1" s="1"/>
  <c r="F534" i="1" s="1"/>
  <c r="F535" i="1" s="1"/>
  <c r="F536" i="1" s="1"/>
  <c r="F537" i="1" s="1"/>
  <c r="F538" i="1" s="1"/>
  <c r="F539" i="1" s="1"/>
  <c r="F540" i="1" s="1"/>
  <c r="F541" i="1" s="1"/>
  <c r="F542" i="1" s="1"/>
  <c r="F543" i="1" s="1"/>
  <c r="F544" i="1" l="1"/>
  <c r="F545" i="1" s="1"/>
  <c r="F546" i="1" s="1"/>
  <c r="F547" i="1" s="1"/>
  <c r="F548" i="1" s="1"/>
  <c r="F549" i="1" s="1"/>
  <c r="F550" i="1" s="1"/>
  <c r="F551" i="1" l="1"/>
  <c r="F552" i="1" s="1"/>
  <c r="F553" i="1" s="1"/>
  <c r="F554" i="1" s="1"/>
  <c r="F555" i="1" s="1"/>
  <c r="F556" i="1" s="1"/>
  <c r="F557" i="1" s="1"/>
  <c r="F558" i="1" s="1"/>
  <c r="F559" i="1" l="1"/>
  <c r="F560" i="1" s="1"/>
  <c r="F561" i="1" s="1"/>
  <c r="F562" i="1" s="1"/>
  <c r="F563" i="1" s="1"/>
  <c r="F564" i="1" s="1"/>
  <c r="F565" i="1" s="1"/>
  <c r="F566" i="1" s="1"/>
  <c r="F567" i="1" s="1"/>
  <c r="F568" i="1" s="1"/>
  <c r="F569" i="1" s="1"/>
  <c r="F570" i="1" s="1"/>
  <c r="F571" i="1" s="1"/>
  <c r="F572" i="1" s="1"/>
  <c r="F573" i="1" s="1"/>
  <c r="F574" i="1" s="1"/>
  <c r="F575" i="1" s="1"/>
  <c r="F576" i="1" s="1"/>
  <c r="F577" i="1" s="1"/>
  <c r="F578" i="1" s="1"/>
  <c r="F579" i="1" s="1"/>
  <c r="F580" i="1" s="1"/>
  <c r="F581" i="1" s="1"/>
  <c r="F582" i="1" s="1"/>
  <c r="F583" i="1" s="1"/>
  <c r="F584" i="1" s="1"/>
  <c r="F585" i="1" s="1"/>
  <c r="F586" i="1" s="1"/>
  <c r="F587" i="1" s="1"/>
  <c r="F588" i="1" s="1"/>
  <c r="F589" i="1" s="1"/>
  <c r="F590" i="1" s="1"/>
  <c r="F591" i="1" s="1"/>
  <c r="F592" i="1" s="1"/>
  <c r="F593" i="1" s="1"/>
  <c r="F594" i="1" s="1"/>
  <c r="F595" i="1" s="1"/>
  <c r="F596" i="1" s="1"/>
  <c r="F597" i="1" s="1"/>
  <c r="F598" i="1" s="1"/>
  <c r="F599" i="1" s="1"/>
  <c r="F600" i="1" s="1"/>
  <c r="F601" i="1" s="1"/>
  <c r="F602" i="1" s="1"/>
  <c r="F603" i="1" s="1"/>
  <c r="F604" i="1" s="1"/>
  <c r="F605" i="1" s="1"/>
  <c r="F606" i="1" s="1"/>
  <c r="F607" i="1" s="1"/>
  <c r="F608" i="1" s="1"/>
  <c r="F609" i="1" s="1"/>
  <c r="F610" i="1" s="1"/>
  <c r="F611" i="1" s="1"/>
  <c r="F612" i="1" s="1"/>
  <c r="F613" i="1" s="1"/>
  <c r="F614" i="1" s="1"/>
  <c r="F615" i="1" s="1"/>
  <c r="F616" i="1" s="1"/>
  <c r="F617" i="1" s="1"/>
  <c r="F618" i="1" s="1"/>
  <c r="F619" i="1" s="1"/>
  <c r="F620" i="1" s="1"/>
  <c r="F621" i="1" s="1"/>
  <c r="F622" i="1" l="1"/>
  <c r="F623" i="1" s="1"/>
  <c r="F624" i="1" s="1"/>
  <c r="F625" i="1" s="1"/>
  <c r="F626" i="1" s="1"/>
  <c r="F627" i="1" s="1"/>
  <c r="F628" i="1" s="1"/>
  <c r="F629" i="1" s="1"/>
  <c r="F630" i="1" s="1"/>
  <c r="F631" i="1" s="1"/>
  <c r="F632" i="1" s="1"/>
  <c r="F633" i="1" s="1"/>
  <c r="F634" i="1" s="1"/>
  <c r="F635" i="1" s="1"/>
  <c r="F636" i="1" s="1"/>
  <c r="F637" i="1" s="1"/>
  <c r="F638" i="1" s="1"/>
  <c r="F639" i="1" s="1"/>
  <c r="F640" i="1" s="1"/>
  <c r="F641" i="1" s="1"/>
  <c r="F642" i="1" s="1"/>
  <c r="F643" i="1" s="1"/>
  <c r="F644" i="1" s="1"/>
  <c r="F645" i="1" s="1"/>
  <c r="F646" i="1" s="1"/>
  <c r="F647" i="1" s="1"/>
  <c r="F648" i="1" l="1"/>
  <c r="F649" i="1" s="1"/>
  <c r="F650" i="1" s="1"/>
  <c r="F651" i="1" s="1"/>
  <c r="F652" i="1" s="1"/>
  <c r="F653" i="1" s="1"/>
  <c r="F654" i="1" l="1"/>
  <c r="F655" i="1" s="1"/>
  <c r="F656" i="1" s="1"/>
  <c r="F657" i="1" s="1"/>
  <c r="F658" i="1" s="1"/>
  <c r="F659" i="1" s="1"/>
  <c r="F660" i="1" s="1"/>
  <c r="F661" i="1" s="1"/>
  <c r="F662" i="1" s="1"/>
  <c r="F663" i="1" s="1"/>
  <c r="F664" i="1" s="1"/>
  <c r="F665" i="1" s="1"/>
  <c r="F666" i="1" s="1"/>
  <c r="F667" i="1" s="1"/>
  <c r="F668" i="1" s="1"/>
  <c r="F669" i="1" s="1"/>
  <c r="F670" i="1" s="1"/>
  <c r="F671" i="1" s="1"/>
  <c r="F672" i="1" s="1"/>
  <c r="F673" i="1" s="1"/>
  <c r="F674" i="1" s="1"/>
  <c r="F675" i="1" s="1"/>
  <c r="F676" i="1" s="1"/>
  <c r="F677" i="1" s="1"/>
  <c r="F678" i="1" s="1"/>
  <c r="F679" i="1" s="1"/>
  <c r="F680" i="1" s="1"/>
  <c r="F681" i="1" l="1"/>
  <c r="F682" i="1" l="1"/>
  <c r="F683" i="1" s="1"/>
  <c r="F684" i="1" s="1"/>
</calcChain>
</file>

<file path=xl/sharedStrings.xml><?xml version="1.0" encoding="utf-8"?>
<sst xmlns="http://schemas.openxmlformats.org/spreadsheetml/2006/main" count="955" uniqueCount="713">
  <si>
    <t>NO</t>
  </si>
  <si>
    <t>TANGGAL</t>
  </si>
  <si>
    <t>KETERANGAN</t>
  </si>
  <si>
    <t>MASUK</t>
  </si>
  <si>
    <t>KELUAR</t>
  </si>
  <si>
    <t>SALDO</t>
  </si>
  <si>
    <t>20 Januari 2019</t>
  </si>
  <si>
    <t>Saldo awal bulan  Desember 2018</t>
  </si>
  <si>
    <t>24 Januari 2019</t>
  </si>
  <si>
    <t>Gaji Marbot Bulan Januari 2019</t>
  </si>
  <si>
    <t>6 Februari 2019</t>
  </si>
  <si>
    <t>Pembelian Listrik 628 kWh</t>
  </si>
  <si>
    <t xml:space="preserve">25 Februari 2019 </t>
  </si>
  <si>
    <t>Gaji Marbot Bulan Februari 2019</t>
  </si>
  <si>
    <t>25 Maret 2019</t>
  </si>
  <si>
    <t>Gaji Marbot Bulan Maret 2019</t>
  </si>
  <si>
    <t>2 April  2019</t>
  </si>
  <si>
    <t xml:space="preserve">Pembelian Kebutuhan Kebersihan Masjid </t>
  </si>
  <si>
    <t>4 April  2019</t>
  </si>
  <si>
    <t xml:space="preserve">Pembukaan Kencleng Masjid </t>
  </si>
  <si>
    <t>18 April  2019</t>
  </si>
  <si>
    <t>Dana dari RW untuk Operasional Bulanan DKM (3 Bulan)</t>
  </si>
  <si>
    <t>19 April  2019</t>
  </si>
  <si>
    <t xml:space="preserve">Dana Dari Kotak Berjalan Jum'atan </t>
  </si>
  <si>
    <t>20 April  2019</t>
  </si>
  <si>
    <t>Biaya untuk Keperluan Obor Kegiatan Israj Miraj</t>
  </si>
  <si>
    <t>22 April  2019</t>
  </si>
  <si>
    <t xml:space="preserve">Bantuan dari RW dan RT 1 untuk Bantuan kegiatan DKM </t>
  </si>
  <si>
    <t>23 April  2019</t>
  </si>
  <si>
    <t>Biaya Konsumsi Kegiatan Israj Miraj</t>
  </si>
  <si>
    <t>24 April  2019</t>
  </si>
  <si>
    <t>Biaya untuk Kebutuhan Administrasi kegiatan Israj Miraj</t>
  </si>
  <si>
    <t>26 April  2019</t>
  </si>
  <si>
    <t xml:space="preserve">Bantuan dari RT 3 untuk kegiatan DKM </t>
  </si>
  <si>
    <t>27 April  2019</t>
  </si>
  <si>
    <t>Gaji Marbot Bulan April 2019</t>
  </si>
  <si>
    <t xml:space="preserve">Infaq Ustadz </t>
  </si>
  <si>
    <t xml:space="preserve">Kencleng Berjalan saat kegiatan Israj Miraj </t>
  </si>
  <si>
    <t>28 April  2019</t>
  </si>
  <si>
    <t xml:space="preserve">Bantuan dari RT 2 untuk Kegiatan DKM </t>
  </si>
  <si>
    <t>9 Mei 2019</t>
  </si>
  <si>
    <t xml:space="preserve">Infaq Transport Ustadz Tarawih </t>
  </si>
  <si>
    <t>10 Mei 2019</t>
  </si>
  <si>
    <t xml:space="preserve">Penyaluran dana ke Majelis Ta'lim </t>
  </si>
  <si>
    <t xml:space="preserve">Reimburse untuk biaya Publikasi kegiatan Israj Miraj </t>
  </si>
  <si>
    <t>17 Mei 2019</t>
  </si>
  <si>
    <t>19 Mei 2019</t>
  </si>
  <si>
    <t>21 Mei 2019</t>
  </si>
  <si>
    <t>22 Mei 2019</t>
  </si>
  <si>
    <t xml:space="preserve">23 Mei 2019 </t>
  </si>
  <si>
    <t>THR dan Gaji Bulan Mei Bang Zaini</t>
  </si>
  <si>
    <t>24 Mei 2019</t>
  </si>
  <si>
    <t xml:space="preserve">Infaq Ustadz Tarawih </t>
  </si>
  <si>
    <t>25 Mei 2019</t>
  </si>
  <si>
    <t>29 Mei 2019</t>
  </si>
  <si>
    <t xml:space="preserve">THR untuk team support selama ramadhan </t>
  </si>
  <si>
    <t>4 Juni 2019</t>
  </si>
  <si>
    <t>Kencleng Tarawih dan Kotak Tiang Selama Ramadhan</t>
  </si>
  <si>
    <t>Infaq Ustadz Idul Fitri 1440H</t>
  </si>
  <si>
    <t xml:space="preserve">THR Security dan Petugas Kebersihan </t>
  </si>
  <si>
    <t>5 Juni 2019</t>
  </si>
  <si>
    <t>Kencleng Idul Fitri 1440 H</t>
  </si>
  <si>
    <t>25 Juni 2019</t>
  </si>
  <si>
    <t xml:space="preserve">Gaji Petugas Kebersihan Masjid Bulan Juni </t>
  </si>
  <si>
    <t>13 Juli 2019</t>
  </si>
  <si>
    <t xml:space="preserve">Snack untuk Kajian Pengenalan Metode Belajar Al Qur'an </t>
  </si>
  <si>
    <t>Fotocopy dan pengedaran surat</t>
  </si>
  <si>
    <t>19 Juli 2019</t>
  </si>
  <si>
    <t xml:space="preserve">Infaq Ustadz untuk Kajian Majelis Ta'lim </t>
  </si>
  <si>
    <t>20 Juli 2019</t>
  </si>
  <si>
    <t>Bantuan dari Kas RW untuk operasional DKM Mei,Juni &amp; Juli</t>
  </si>
  <si>
    <t>25 Juli 2019</t>
  </si>
  <si>
    <t>Gaji Petugas Kebersihan Masjid Bulan Juli</t>
  </si>
  <si>
    <t>9 Agustus 2019</t>
  </si>
  <si>
    <t>Operasional Qurban dan Kafalah Imam &amp; Khotib Sholat Ied</t>
  </si>
  <si>
    <t>11 Agustus 2019</t>
  </si>
  <si>
    <t xml:space="preserve">Infaq Idul Adha </t>
  </si>
  <si>
    <t>25 Agustus 2019</t>
  </si>
  <si>
    <t xml:space="preserve">Gaji Petugas Kebersihan Masjid Bulan Agustus </t>
  </si>
  <si>
    <t>29 Agustus 2019</t>
  </si>
  <si>
    <t xml:space="preserve">Pembelian Token Listrik </t>
  </si>
  <si>
    <t>8 September 2019</t>
  </si>
  <si>
    <t>Administrasi Acara Muharram dan bingkisan pembicara</t>
  </si>
  <si>
    <t>10 September 2019</t>
  </si>
  <si>
    <t xml:space="preserve">Biaya Pembuatan Spanduk Acara Muharram </t>
  </si>
  <si>
    <t>12 September 2019</t>
  </si>
  <si>
    <t xml:space="preserve">Biaya Konsumsi untuk acara Muharram </t>
  </si>
  <si>
    <t xml:space="preserve">Biaya Untuk pembuatan obor </t>
  </si>
  <si>
    <t>Dana dari RW untuk Acara Muharram</t>
  </si>
  <si>
    <t>15 September 2019</t>
  </si>
  <si>
    <t xml:space="preserve">Infaq Pembicara untuk acara Muharram </t>
  </si>
  <si>
    <t>18 September 2019</t>
  </si>
  <si>
    <t xml:space="preserve">Transfer ke Pak Zaenuri untuk pengganti kurma Acara Muharram </t>
  </si>
  <si>
    <t>25 September 2019</t>
  </si>
  <si>
    <t xml:space="preserve">Gaji Petugas Kebersihan Bulan September </t>
  </si>
  <si>
    <t>25 Oktober 2019</t>
  </si>
  <si>
    <t xml:space="preserve">Gaji Petugas Kebersihan Bulan Oktober </t>
  </si>
  <si>
    <t>3 November 2019</t>
  </si>
  <si>
    <t>21 November 2019</t>
  </si>
  <si>
    <t>Sumbangan dari RT3 untuk Acara Maulid</t>
  </si>
  <si>
    <t>22 November 2019</t>
  </si>
  <si>
    <t>Sumbangan dari RW untuk Acara Maulid</t>
  </si>
  <si>
    <t>Sumbangan dari Hamba ALLAH untuk Acara Maulid</t>
  </si>
  <si>
    <t>Sumbangan dari RT 2 untuk Acara Maulid</t>
  </si>
  <si>
    <t>23 November 2019</t>
  </si>
  <si>
    <t>Sumbangan dari RT 1 untuk Acara Maulid</t>
  </si>
  <si>
    <t xml:space="preserve">Konsumsi Bakso untuk Maulid </t>
  </si>
  <si>
    <t>Snack Anak2 untuk Acara Maulid</t>
  </si>
  <si>
    <t>24 November 2019</t>
  </si>
  <si>
    <t>Infaq Ustadz untuk Acara Maulid</t>
  </si>
  <si>
    <t>Parcel ustadz untuk Acara Maulid</t>
  </si>
  <si>
    <t xml:space="preserve">Kencleng Saat Acara Maulid </t>
  </si>
  <si>
    <t>25 November 2019</t>
  </si>
  <si>
    <t>Gaji Bang Zaeni Bulan November</t>
  </si>
  <si>
    <t>25 Desember 2019</t>
  </si>
  <si>
    <t>Gaji Bang Zaeni Bulan Desember</t>
  </si>
  <si>
    <t>25 Januari 2020</t>
  </si>
  <si>
    <t>Gaji Bang Zaeni Bulan Januari 2020</t>
  </si>
  <si>
    <t>25 Februari 2020</t>
  </si>
  <si>
    <t>Gaji Bang Zaeni Bulan Februari 2020</t>
  </si>
  <si>
    <t>18 Maret 2020</t>
  </si>
  <si>
    <t xml:space="preserve">Infaq dari Pak Ridho </t>
  </si>
  <si>
    <t xml:space="preserve">Infaq dari Pak Hardian </t>
  </si>
  <si>
    <t xml:space="preserve">Infaq dari Pak Jalal </t>
  </si>
  <si>
    <t>Infaq dari Pak Heri S</t>
  </si>
  <si>
    <t>25 Maret 2020</t>
  </si>
  <si>
    <t>Gaji Bang Zaeni Bulan Maret 2020</t>
  </si>
  <si>
    <t>23 April 2020</t>
  </si>
  <si>
    <t xml:space="preserve">Dana dari RW untuk DKM, alokasi Jan - April 2020 </t>
  </si>
  <si>
    <t>25 April 2020</t>
  </si>
  <si>
    <t>Gaji Bang Zaeni Bulan April 2020</t>
  </si>
  <si>
    <t>22 Mei 2020</t>
  </si>
  <si>
    <t xml:space="preserve">THR Bang Zaeni </t>
  </si>
  <si>
    <t>25 Mei 2020</t>
  </si>
  <si>
    <t>Gaji Bang Zaeni Bulan Mei 2020</t>
  </si>
  <si>
    <t>14 Juni 2020</t>
  </si>
  <si>
    <t>25 Juni 2020</t>
  </si>
  <si>
    <t>Gaji Bang Zaeni Bulan Juni 2020</t>
  </si>
  <si>
    <t>26 Juni 2020</t>
  </si>
  <si>
    <t>Infaq Ustadz Sholat Jum'at</t>
  </si>
  <si>
    <t>27 Juni 2020</t>
  </si>
  <si>
    <t>3 Juli 2020</t>
  </si>
  <si>
    <t>25 Juli 2020</t>
  </si>
  <si>
    <t xml:space="preserve">Gaji Bang Zaeni Bulan Juli </t>
  </si>
  <si>
    <t>26 Juli 2020</t>
  </si>
  <si>
    <t xml:space="preserve">Dana Dari RW untuk Infaq Ustadz Idul Adha </t>
  </si>
  <si>
    <t>28 Juli 2020</t>
  </si>
  <si>
    <t xml:space="preserve">Pembelian Terpal </t>
  </si>
  <si>
    <t>30 Juli 2020</t>
  </si>
  <si>
    <t xml:space="preserve">Pembelian Pembersih dan isolasi </t>
  </si>
  <si>
    <t>31 Juli 2020</t>
  </si>
  <si>
    <t xml:space="preserve">Infaq Ustadz Idul Adha </t>
  </si>
  <si>
    <t xml:space="preserve">Perolehan Kencleng Idul Adha </t>
  </si>
  <si>
    <t>5 Agustus 2020</t>
  </si>
  <si>
    <t>Sisa dana Operasional Qurban dari Panitia</t>
  </si>
  <si>
    <t>6 Agustus 2020</t>
  </si>
  <si>
    <t xml:space="preserve">Sisa Konsumsi Panitia </t>
  </si>
  <si>
    <t>Infaq ustadz Khotib Jum'at 6 Agustus 2020</t>
  </si>
  <si>
    <t>25 Agustus 2020</t>
  </si>
  <si>
    <t>Gaji Bang Zaeni Bulan Agustus 2020</t>
  </si>
  <si>
    <t>28 Agustus 2020</t>
  </si>
  <si>
    <t>Infaq Ustadz Khotib Jum'at 21 &amp; 28 Agustus 2020</t>
  </si>
  <si>
    <t>11 September 2020</t>
  </si>
  <si>
    <t xml:space="preserve">Infaq Ustadz Khotib Jum'at </t>
  </si>
  <si>
    <t>25 September 2020</t>
  </si>
  <si>
    <t>Infaq Ustadz Khotib Jum'at 25 September 2020</t>
  </si>
  <si>
    <t>Gaji Bang Zaeni Bulan September 2020</t>
  </si>
  <si>
    <t>9 Oktober 2020</t>
  </si>
  <si>
    <t>16 Oktober 2020</t>
  </si>
  <si>
    <t>Infaq Ustadz Khotib Jum'at</t>
  </si>
  <si>
    <t xml:space="preserve">Pembukaan Kotak Amal Bergerak </t>
  </si>
  <si>
    <t xml:space="preserve">Pembukaan Kotak Amal Tetap </t>
  </si>
  <si>
    <t>23 Oktober 2020</t>
  </si>
  <si>
    <t>Pembukaan Kencleng Masjid 23 Oktober 2020</t>
  </si>
  <si>
    <t>30 Oktober 2020</t>
  </si>
  <si>
    <t xml:space="preserve">Gaji Bang Zaeni Bulan Oktober </t>
  </si>
  <si>
    <t>25 November 2020</t>
  </si>
  <si>
    <t>Belanja Material untuk Perbaikan Bocor2</t>
  </si>
  <si>
    <t>Ongkos Bang Zaeni untuk Jasa Perbaikan Bocor2 (3 Hari)</t>
  </si>
  <si>
    <t>30 November 2020</t>
  </si>
  <si>
    <t>2 Januari 2021</t>
  </si>
  <si>
    <t>Ongkos Bang Zaeni untuk Cat Pagar (2 Hari)</t>
  </si>
  <si>
    <t xml:space="preserve">Gaji Bang Zaeni Bulan Desember </t>
  </si>
  <si>
    <t>16 Januari 2021</t>
  </si>
  <si>
    <t>Gaji Bang Zaeni Bulan Januari 2021</t>
  </si>
  <si>
    <t>Gaji Bang Zaeni Bulan Februari 2021</t>
  </si>
  <si>
    <t>Gaji Bang Zaeni Bulan Maret 2021</t>
  </si>
  <si>
    <t xml:space="preserve">Pembukaan Kotak amal Tetap </t>
  </si>
  <si>
    <t>Infaq Ustadz Kultum Subuh 17&amp;24 April 2021</t>
  </si>
  <si>
    <t xml:space="preserve">Gaji Bang Zaeni April + THR </t>
  </si>
  <si>
    <t xml:space="preserve">Material dan Jasa Renovasi Atap </t>
  </si>
  <si>
    <t>Total saldo Akhir</t>
  </si>
  <si>
    <t>MENGETAHUI</t>
  </si>
  <si>
    <t>KETUA DKM</t>
  </si>
  <si>
    <t>BENDAHARA</t>
  </si>
  <si>
    <t>Ahmad Jalaluddin, SE</t>
  </si>
  <si>
    <t>Sanda Rangga Saputra</t>
  </si>
  <si>
    <t>Note ; mohon koreksi dan saran</t>
  </si>
  <si>
    <t>1 Mei 2021</t>
  </si>
  <si>
    <t>5 Mei 2021</t>
  </si>
  <si>
    <t xml:space="preserve">Cetak Spanduk </t>
  </si>
  <si>
    <t>8 Mei 2021</t>
  </si>
  <si>
    <t xml:space="preserve">Infaq Kultum Subuh Ramadhan 1 Mei </t>
  </si>
  <si>
    <t xml:space="preserve">Infaq Kultum Subuh Ramadhan 8 Mei </t>
  </si>
  <si>
    <t>11 Mei 2021</t>
  </si>
  <si>
    <t xml:space="preserve">Beli Terpal untuk 6x8 sebanyak 2 Buah lewat tokopedia </t>
  </si>
  <si>
    <t>28 Mei 2021</t>
  </si>
  <si>
    <t>Gaji Bang Zaeni Bulan Mei 2021</t>
  </si>
  <si>
    <t>Pembukaan Kotak Amal 4 Maret 2021</t>
  </si>
  <si>
    <t>Infaq Khotib Jum'at 12 Maret 2021</t>
  </si>
  <si>
    <t>Infaq Khotib Jum'at 19 Maret 2021</t>
  </si>
  <si>
    <t>Infaq Khotib Jum'at 26 Maret 2021</t>
  </si>
  <si>
    <t>Infaq Khotib Jum'at 2 April 2021</t>
  </si>
  <si>
    <t>Infaq Khotib Jum'at 9 April 2021</t>
  </si>
  <si>
    <t xml:space="preserve">Beli Lampu </t>
  </si>
  <si>
    <t>Jasa Benerin Lampu</t>
  </si>
  <si>
    <t xml:space="preserve">Infaq Khotib Jum'at 16 April 2021 </t>
  </si>
  <si>
    <t xml:space="preserve">Beli Tisue </t>
  </si>
  <si>
    <t xml:space="preserve">Masker 2 Box </t>
  </si>
  <si>
    <t xml:space="preserve">Pembukaan Kotak Amal 21 April 2021 </t>
  </si>
  <si>
    <t xml:space="preserve">Infaq Khotib Jum'at 23 April 2021 </t>
  </si>
  <si>
    <t>Imam +Ceramah Sholat Tarawih -Ust Kurniawan</t>
  </si>
  <si>
    <t>Imam +Ceramah Sholat Tarawih- Ust Raswan</t>
  </si>
  <si>
    <t xml:space="preserve">Infaq Khotib Jum'at 30 April 2021 </t>
  </si>
  <si>
    <t>12 Mei 2021</t>
  </si>
  <si>
    <t>Pembukaan Kotak Amal 12 Mei 2021</t>
  </si>
  <si>
    <t>6 Mei 2021</t>
  </si>
  <si>
    <t>7 Mei 2021</t>
  </si>
  <si>
    <t xml:space="preserve">Beli Gorden Hijab </t>
  </si>
  <si>
    <t>Khotib Jum'at</t>
  </si>
  <si>
    <t xml:space="preserve">Ceramah Tarawih </t>
  </si>
  <si>
    <t>13 Mei 2021</t>
  </si>
  <si>
    <t xml:space="preserve">Khotib Idul Fitri </t>
  </si>
  <si>
    <t>14 Mei 2021</t>
  </si>
  <si>
    <t xml:space="preserve">Pembukaan Kotak Amal Idul Fitri </t>
  </si>
  <si>
    <t>4 Juni 2021</t>
  </si>
  <si>
    <t>Khotib Jum'at 4 Juni 2021</t>
  </si>
  <si>
    <t>5 Juni 2021</t>
  </si>
  <si>
    <t xml:space="preserve">Infaq Kultum Subuh Ustadz Kurniawan </t>
  </si>
  <si>
    <t xml:space="preserve">Pembukaan Kencleng Masjid 5 Nov 2020 </t>
  </si>
  <si>
    <t>18 Desember 2020</t>
  </si>
  <si>
    <t>Infaq Ustadz Khotib Jum'at 4,11 dan 18 Desember</t>
  </si>
  <si>
    <t>19 Desember 2020</t>
  </si>
  <si>
    <t>20 Desember 2020</t>
  </si>
  <si>
    <t>Pembukaan Kotak Masjid 19 Desember 2020</t>
  </si>
  <si>
    <t>25 Desember 2020</t>
  </si>
  <si>
    <t>Pembelian Mic</t>
  </si>
  <si>
    <t>17 Januari 2021</t>
  </si>
  <si>
    <t>Pembukaan Kotak Masjid 17 Januari 2021</t>
  </si>
  <si>
    <t xml:space="preserve">Khotib Jum'at </t>
  </si>
  <si>
    <t>Khotib Jum'at 5,12,19 Februari 2021</t>
  </si>
  <si>
    <t xml:space="preserve">Pembelian Handsanitizer </t>
  </si>
  <si>
    <t xml:space="preserve">Khotib Jum'at 26 Feb </t>
  </si>
  <si>
    <t>3 Mei 2021</t>
  </si>
  <si>
    <t>Pembukaan Kotak Amal 3 Mei 2021</t>
  </si>
  <si>
    <t>Reimburse ke Pak Syahrul untuk infaq khotib Jum'ta (3x)</t>
  </si>
  <si>
    <t>20 Mei 2021</t>
  </si>
  <si>
    <t>7 Juni 2021</t>
  </si>
  <si>
    <t>Pembukaan Kotak Amal 7 Juni 2021</t>
  </si>
  <si>
    <t>11 Juni 2021</t>
  </si>
  <si>
    <t>Infaq Khotib Jum'at 11 Juni 2021</t>
  </si>
  <si>
    <t>16 Juni 2021</t>
  </si>
  <si>
    <t xml:space="preserve">Pembukaan Kotak Amal 16 Juni </t>
  </si>
  <si>
    <t>18 Juni 2021</t>
  </si>
  <si>
    <t>Infaq Khotib Jum'at 18 Juni 2021</t>
  </si>
  <si>
    <t>25 Juni 2021</t>
  </si>
  <si>
    <t>Infaq Khotib Jum'at 25 Juni 2021</t>
  </si>
  <si>
    <t>Gaji Bang Zaeni Bulan Juni 2021</t>
  </si>
  <si>
    <t>25 Juli 2021</t>
  </si>
  <si>
    <t>6 Agustus 2021</t>
  </si>
  <si>
    <t>13 Agustus 2021</t>
  </si>
  <si>
    <t>14 Agustus 2021</t>
  </si>
  <si>
    <t>Gaji Bang Zaeni Bulan Juli 2021</t>
  </si>
  <si>
    <t xml:space="preserve">Taawun untuk Biaya Pengobatan Alm Ust Kurniawan </t>
  </si>
  <si>
    <t>Infaq Khotib Jum'at 6 Agustus 2021</t>
  </si>
  <si>
    <t>Infaq Khotib Jum'at 13 Agustus 2021</t>
  </si>
  <si>
    <t>Pembukaan Kotak Amal 14 Agustus 2021</t>
  </si>
  <si>
    <t>20 Agustus 2021</t>
  </si>
  <si>
    <t>Infaq Khotib Jum'at 20 Agustus 2021</t>
  </si>
  <si>
    <t>25 Agustus 2021</t>
  </si>
  <si>
    <t>Gaji Bang Zaeni Bulan Agustus 2021</t>
  </si>
  <si>
    <t>27 Agustus 2021</t>
  </si>
  <si>
    <t>Infaq Khotib Jum'at 27 Agustus 2021</t>
  </si>
  <si>
    <t>Infaq Khotib Jum'at 3 September 2021</t>
  </si>
  <si>
    <t>Infaq Khotib Jum'at 10 September 2021</t>
  </si>
  <si>
    <t>Infaq Khotib Jum'at 17 September 2021</t>
  </si>
  <si>
    <t>Infaq Khotib Jum'at 24 September 2021</t>
  </si>
  <si>
    <t>Gaji Bang Zaeni Bulan September 2021</t>
  </si>
  <si>
    <t>Gaji Bang Zaeni Bulan Oktober 2021</t>
  </si>
  <si>
    <t xml:space="preserve">Dana Dari RW Bulan November </t>
  </si>
  <si>
    <t>Transfer Dana untuk Kegiatan TPA</t>
  </si>
  <si>
    <t>Gaji Bang Zaeni Bulan November 2021</t>
  </si>
  <si>
    <t>Insentif Pengajar TPA Bulan Desember 2021</t>
  </si>
  <si>
    <t>Insentif Pengajar TPA Bulan November 2021</t>
  </si>
  <si>
    <t>Gaji Bang Zaeni Bulan November 2022</t>
  </si>
  <si>
    <t>Insentif Pengajar TPA Bulan Januari 2022</t>
  </si>
  <si>
    <t>24 Januari 2022</t>
  </si>
  <si>
    <t>Pembelian Lampu untuk Mushola</t>
  </si>
  <si>
    <t>25 Januari 2022</t>
  </si>
  <si>
    <t>Gaji Bang Zaeni Bulan Januari 2022</t>
  </si>
  <si>
    <t>20 Januari 2022</t>
  </si>
  <si>
    <t xml:space="preserve">Transfer dana Kotak Amal dari Pak Syahrul </t>
  </si>
  <si>
    <t>11 Februari 2022</t>
  </si>
  <si>
    <t xml:space="preserve">Insentif Pengajar TPA Bulan Februari </t>
  </si>
  <si>
    <t>12 Februari 2022</t>
  </si>
  <si>
    <t xml:space="preserve">Pembelian Speaker, Perbaikan Speaker dan Kabel </t>
  </si>
  <si>
    <t>28 Februari 2022</t>
  </si>
  <si>
    <t>3 Maret 2022</t>
  </si>
  <si>
    <t>12 Maret 2022</t>
  </si>
  <si>
    <t xml:space="preserve">Insentif Pengajar TPA Bulan Maret </t>
  </si>
  <si>
    <t>Pembukaan Kotak Amal 12 Maret 2022</t>
  </si>
  <si>
    <t>Gaji Bang Zaeni Bulan Februari 2022</t>
  </si>
  <si>
    <t xml:space="preserve">Operasional Sholat Jum'at </t>
  </si>
  <si>
    <t xml:space="preserve">Pembelian Obor, minyak dan Jasa </t>
  </si>
  <si>
    <t>Transfer ke Ibu2 TPA untuk keperluan Tarhib Ramadhan</t>
  </si>
  <si>
    <t xml:space="preserve">Infaq Ustadz Sholat Jum'at </t>
  </si>
  <si>
    <t>Jasa Bersihin Karpet</t>
  </si>
  <si>
    <t>Beli Perlengkapan (Mata Bor dan Lampu )</t>
  </si>
  <si>
    <t>13 Maret 2022</t>
  </si>
  <si>
    <t>14 Maret 2022</t>
  </si>
  <si>
    <t>23 Maret 2022</t>
  </si>
  <si>
    <t>25 Maret 2022</t>
  </si>
  <si>
    <t>26 Maret 2022</t>
  </si>
  <si>
    <t>27 Maret 2022</t>
  </si>
  <si>
    <t>Gaji Bang Zaeni Bulan Maret 2022</t>
  </si>
  <si>
    <t xml:space="preserve">Infaq Ustadz Tarhib Ramadhan </t>
  </si>
  <si>
    <t xml:space="preserve">Infaq Imam Sholat Tarawih dan Kultum </t>
  </si>
  <si>
    <t xml:space="preserve">Subsidi Insentif Pengajar TPA Bulan April </t>
  </si>
  <si>
    <t xml:space="preserve">Infaq Khotib Jum'at </t>
  </si>
  <si>
    <t xml:space="preserve">Pembukaan Kotak Amal </t>
  </si>
  <si>
    <t xml:space="preserve">Pembelian Dispenser </t>
  </si>
  <si>
    <t xml:space="preserve">Transfer untuk Keperluan Satlat TPA </t>
  </si>
  <si>
    <t>Gaji dan THR Bang Zaeni</t>
  </si>
  <si>
    <t xml:space="preserve">Operasional Ramadhan </t>
  </si>
  <si>
    <t xml:space="preserve">Infaq Imam dan Khotib Sholat Ied </t>
  </si>
  <si>
    <t xml:space="preserve">Gaji Bang Zaeni Bulan Mei </t>
  </si>
  <si>
    <t>Alokasi Dana DKM dari RW 17 Bukit Sutera</t>
  </si>
  <si>
    <t xml:space="preserve">Subsidi Insentif Pengajar TPA Bulan Juni </t>
  </si>
  <si>
    <t xml:space="preserve">Transfer untuk Keperluan Panitia Qurban </t>
  </si>
  <si>
    <t xml:space="preserve">Infaq Idul Fitri </t>
  </si>
  <si>
    <t>Gaji Bang Zaeni Bulan Juni</t>
  </si>
  <si>
    <t xml:space="preserve">Subsidi Insentif Pengajar TPA Bulan Juli </t>
  </si>
  <si>
    <t>Pembukaan Kotak Amal 11 Juni 2022</t>
  </si>
  <si>
    <t xml:space="preserve">Pembelian Kabel Audio </t>
  </si>
  <si>
    <t>Pembukaan Kotak Amal 9 Juli 2022</t>
  </si>
  <si>
    <t xml:space="preserve">Kencleng Idul Adha 1443 H </t>
  </si>
  <si>
    <t xml:space="preserve">Infaq Ustadz Idul Adha 1443 H </t>
  </si>
  <si>
    <t xml:space="preserve">Anggaran Untuk Pawai Obor </t>
  </si>
  <si>
    <t xml:space="preserve">Subsidi Insentif Pengajar TPA Bulan Agustus </t>
  </si>
  <si>
    <t xml:space="preserve">Gaji Bang Zaeni Bulan Agustus </t>
  </si>
  <si>
    <t>Pembukaan Kotak Amal 13 Agustus 2022</t>
  </si>
  <si>
    <t xml:space="preserve">Subsidi Insentif Pengajar TPA Bulan September 2022 </t>
  </si>
  <si>
    <t>Transfer Infaq Ustadz Jum'at untuk 3 Pekan ke pak syahrul</t>
  </si>
  <si>
    <t>Infaq Ustadz Jum'at 23 September</t>
  </si>
  <si>
    <t>Gaji Bang Zaeni Bulan September 2022</t>
  </si>
  <si>
    <t>Transfer Infaq Ustadz Jum'at untuk 2 Pekan ke pak syahrul</t>
  </si>
  <si>
    <t xml:space="preserve">Subsidi Insentif Pengajar TPA Bulan Oktober </t>
  </si>
  <si>
    <t xml:space="preserve">Transfer ke Majelis Ta'lim </t>
  </si>
  <si>
    <t>Buka Kotak Amal 9 Oktober 2022</t>
  </si>
  <si>
    <t>Infaq Ustadz Jum'at 21 Oktober</t>
  </si>
  <si>
    <t>Gaji Bang Zaeni Bulan Oktober 2022</t>
  </si>
  <si>
    <t>Perbaikan Mushola (Bahan +Jasa)</t>
  </si>
  <si>
    <t>Subsidi TPA Bulan November 2022</t>
  </si>
  <si>
    <t xml:space="preserve">Infaq Ustadz Jum'at 3 Pekan </t>
  </si>
  <si>
    <t>Pembukaan Kotak Amal 13 Nov 2022</t>
  </si>
  <si>
    <t>Subsidi TPA Bulan Desember 2022</t>
  </si>
  <si>
    <t xml:space="preserve">Infaq Ustadz Jum'at untuk 4 Pekan </t>
  </si>
  <si>
    <t>Gaji Bang Zaeni Bulan Desember 2022</t>
  </si>
  <si>
    <t>Pembukaan Kencleng 25 Desember 2023</t>
  </si>
  <si>
    <t>Subsidi TPA Bulan Januari 2023</t>
  </si>
  <si>
    <t>Pembelian Token Listrik 16 Januari 2023</t>
  </si>
  <si>
    <t>Khotib 3 Pekan + Aqua Galon</t>
  </si>
  <si>
    <t>25 Januari 2023</t>
  </si>
  <si>
    <t>Gaji Bang Zaeni Bulan Januari 2023</t>
  </si>
  <si>
    <t>29 Januari 2023</t>
  </si>
  <si>
    <t>Pembukaan Kotak Bulan Januari 2023</t>
  </si>
  <si>
    <t>1 Februari 2023</t>
  </si>
  <si>
    <t>Subsidi TPA Bulan Februari 2023</t>
  </si>
  <si>
    <t>16 Februari 2023</t>
  </si>
  <si>
    <t xml:space="preserve">Penambahan Pembelian Sound Masjid </t>
  </si>
  <si>
    <t>Dana RW untuk DKM alokasi Februari 2023</t>
  </si>
  <si>
    <t>25 Februari 2023</t>
  </si>
  <si>
    <t>Gaji Bang Zaeni Bulan Februari 2023</t>
  </si>
  <si>
    <t>26 Februari 2023</t>
  </si>
  <si>
    <t>04 Maret 2023</t>
  </si>
  <si>
    <t>Dana RW untuk DKM alokasi Mart 2023</t>
  </si>
  <si>
    <t>5 Maret 2023</t>
  </si>
  <si>
    <t>7 Maret 2023</t>
  </si>
  <si>
    <t>Dana Untuk Obor dan Perlengkapannya</t>
  </si>
  <si>
    <t>9 Maret 2023</t>
  </si>
  <si>
    <t xml:space="preserve">Biaya Spanduk Ramadhan </t>
  </si>
  <si>
    <t>Pembukaan Kencleng 5 Maret 2023</t>
  </si>
  <si>
    <t>01 Maret 2023</t>
  </si>
  <si>
    <t>Subsidi TPA Bulan Maret 2023</t>
  </si>
  <si>
    <t>4 Februari 2023</t>
  </si>
  <si>
    <t xml:space="preserve">Infaq Khotib 4 Februari </t>
  </si>
  <si>
    <t>11 Februari 2023</t>
  </si>
  <si>
    <t>Infaq Khotib 11 Februari</t>
  </si>
  <si>
    <t>18 Februari 2023</t>
  </si>
  <si>
    <t>Infaq Khotib 18 Februari</t>
  </si>
  <si>
    <t>Infaq Khotib 25 Februari</t>
  </si>
  <si>
    <t>Infaq Khotib 5 Maret 2023</t>
  </si>
  <si>
    <t xml:space="preserve">Transfer Dana untuk Kebutuhan Tarhib Ramadhan </t>
  </si>
  <si>
    <t>11 Maret 2023</t>
  </si>
  <si>
    <t>Perbaikan dan Pengecetan Menara TOA</t>
  </si>
  <si>
    <t xml:space="preserve">Infaq dari pak Jalal ke Kas DKM </t>
  </si>
  <si>
    <t>12 Maret 2023</t>
  </si>
  <si>
    <t>Infaq Khotib 12 Maret 2023</t>
  </si>
  <si>
    <t>13 Maret 2023</t>
  </si>
  <si>
    <t xml:space="preserve">Sisa anggaran Tarhib Ramadhan </t>
  </si>
  <si>
    <t>19 Maret 2023</t>
  </si>
  <si>
    <t>Infaq Khotib 19 Maret 2023</t>
  </si>
  <si>
    <t>23 Maret 2023</t>
  </si>
  <si>
    <t>24 Maret 2023</t>
  </si>
  <si>
    <t>27 Maret 2023</t>
  </si>
  <si>
    <t>28 Maret 2023</t>
  </si>
  <si>
    <t xml:space="preserve">Infaq ustadz Sholat Tarawih </t>
  </si>
  <si>
    <t>Pembukaan Kotak 24 Maret 2023</t>
  </si>
  <si>
    <t>26 Maret 2023</t>
  </si>
  <si>
    <t>Infaq Khotib Jum'at 26 Maret 2023</t>
  </si>
  <si>
    <t>31 Maret 2023</t>
  </si>
  <si>
    <t>30 Maret 2023</t>
  </si>
  <si>
    <t>Pembukaan Kencleng 30 Maret 2023</t>
  </si>
  <si>
    <t>Transfer untuk Subsidi Kegiatan Sanlat TPA</t>
  </si>
  <si>
    <t>Pembukaan Kotak Amal 1 April 2023</t>
  </si>
  <si>
    <t xml:space="preserve">Infaq Sholat Tarawih </t>
  </si>
  <si>
    <t>Infaq Khotib Jum'at</t>
  </si>
  <si>
    <t>Infaq Sholat Jum'at</t>
  </si>
  <si>
    <t>25 Maret 2023</t>
  </si>
  <si>
    <t xml:space="preserve">Infaq Ustadz Sholat Tarawih </t>
  </si>
  <si>
    <t xml:space="preserve">Pembukaan Kencleng 7 April 2023 </t>
  </si>
  <si>
    <t xml:space="preserve">THR  Bang Zaeni </t>
  </si>
  <si>
    <t xml:space="preserve">Infaq dari pak Kuripto untuk DKM </t>
  </si>
  <si>
    <t>Infaq dari pak fredy</t>
  </si>
  <si>
    <t>Infaq dari pak Erwin</t>
  </si>
  <si>
    <t>Infaq dari Hamba Allah</t>
  </si>
  <si>
    <t xml:space="preserve">Pembukaan Kotak Amal 16 April </t>
  </si>
  <si>
    <t>Gaji Bang Zaeni Bulan April 2023</t>
  </si>
  <si>
    <t>THR ke Babe Kus</t>
  </si>
  <si>
    <t xml:space="preserve">Alokasi Dana DKM dari RW bulan April </t>
  </si>
  <si>
    <t>Alokasi Dana DKM dari RW bulan Mei</t>
  </si>
  <si>
    <t>Subsidi TPA bulan Mei 2023</t>
  </si>
  <si>
    <t>Cetak Backdropp untuk Halal Bihalal RW</t>
  </si>
  <si>
    <t xml:space="preserve">Dana dari RW untuk Pembicara Halal Bihalal </t>
  </si>
  <si>
    <t>Pembukaan Kotak Amal 18 Mei 2023</t>
  </si>
  <si>
    <t xml:space="preserve">Jasa Bongkar pasang tenda untuk 3 orang </t>
  </si>
  <si>
    <t xml:space="preserve">Infaq Pembicara Halal Bihalal </t>
  </si>
  <si>
    <t>Subsidi TPA bulan April 2023</t>
  </si>
  <si>
    <t>Pembukaan Kotak Amal 25 Juni 2023</t>
  </si>
  <si>
    <t xml:space="preserve">Gaji Bang Zaeni Bulan Juni </t>
  </si>
  <si>
    <t xml:space="preserve">Pembelian Celengan Kaleng 100 buah </t>
  </si>
  <si>
    <t>Pembelian Mic Headshet-TOA via shopee</t>
  </si>
  <si>
    <t xml:space="preserve">Pembayaran Spanduk Idul Adha </t>
  </si>
  <si>
    <t>Pembukaan Kencleng</t>
  </si>
  <si>
    <t>Subsidi TPA Bulan Juni 2023</t>
  </si>
  <si>
    <t>Alokasi dana RW untuk DKM di Bulan Juni 2023</t>
  </si>
  <si>
    <t>Subsidi TPA Bulan Juli 2023</t>
  </si>
  <si>
    <t>Alokasi dana RW untuk DKM di Bulan Juli 2023</t>
  </si>
  <si>
    <t>Alokasi dana RW untuk DKM di Bulan Agustus 2023</t>
  </si>
  <si>
    <t>Buka Kotak Amal 13 Agustus 2023</t>
  </si>
  <si>
    <t>Kotak Amal 13 Agustus 2023</t>
  </si>
  <si>
    <t>Bantuan dana Kegiatan untuk Majelis Ta'lim</t>
  </si>
  <si>
    <t xml:space="preserve">Gaji Bang Zaeni </t>
  </si>
  <si>
    <t>Subsidi TPA Bulan Agustus 2023</t>
  </si>
  <si>
    <t>Buka Kotak Amal Masjid</t>
  </si>
  <si>
    <t>Alokasi Dana RW untuk DKM bulan september 2023</t>
  </si>
  <si>
    <t xml:space="preserve">Buka Kotak Amal </t>
  </si>
  <si>
    <t>Gaji Bang Zaeni Bulan September</t>
  </si>
  <si>
    <t>Subsidi TPA Bulan September 2023</t>
  </si>
  <si>
    <t>Alokasi Dana RW untuk DKM bulan oktober 2023</t>
  </si>
  <si>
    <t>Pembukaan Kotak Infaq</t>
  </si>
  <si>
    <t>Gaji Bang Zaeni</t>
  </si>
  <si>
    <t>Alokasi Dana RW untuk DKM bulan november 2023</t>
  </si>
  <si>
    <t>Subsidi TPA Bulan Oktober 2023</t>
  </si>
  <si>
    <t>Subsidi TPA Bulan November 2023</t>
  </si>
  <si>
    <t>Alokasi Dana RW untuk DKM bulan Desember 2023</t>
  </si>
  <si>
    <t xml:space="preserve">Perbaikan Mesin Air DKM </t>
  </si>
  <si>
    <t>Pembelian Mesin Air untuk Tempat Tukang Pembangunan Masjid</t>
  </si>
  <si>
    <t>Subsidi TPA Bulan Desember 2023</t>
  </si>
  <si>
    <t>Gaji Bang Zaeini Bulan Januari</t>
  </si>
  <si>
    <t>Subsidi TPA Bulan Januari 2024</t>
  </si>
  <si>
    <t xml:space="preserve">Sumbangan Hamba Allah </t>
  </si>
  <si>
    <t xml:space="preserve">Infaq untuk Ustadz Tarhib Ramadhan </t>
  </si>
  <si>
    <t xml:space="preserve">Keperluan Operasional Tarhib Ramadhan </t>
  </si>
  <si>
    <t xml:space="preserve">Sisa Dana Operasional Tarhib Ramadhan </t>
  </si>
  <si>
    <t xml:space="preserve">Biaya Cetak Spanduk Ramadhan </t>
  </si>
  <si>
    <t>Kotak Amal 11 Maret 2024</t>
  </si>
  <si>
    <t xml:space="preserve">Pembukaan Kotak </t>
  </si>
  <si>
    <t>Alokasi Dana RW untuk DKM bulan Desember 2024</t>
  </si>
  <si>
    <t>Alokasi Dana RW untuk DKM Januari 2024</t>
  </si>
  <si>
    <t>Alokasi Dana RW untuk DKM Bulan Februari 2024</t>
  </si>
  <si>
    <t>No</t>
  </si>
  <si>
    <t>Tgl</t>
  </si>
  <si>
    <t xml:space="preserve">   Saldo   </t>
  </si>
  <si>
    <t>Keterangan</t>
  </si>
  <si>
    <t xml:space="preserve">   Debit  </t>
  </si>
  <si>
    <t xml:space="preserve">   Kredit </t>
  </si>
  <si>
    <t>SALDO AKHIR</t>
  </si>
  <si>
    <t>Kotak Amal 16 Maret 2024</t>
  </si>
  <si>
    <t>Kotak Amal 24 Maret 2024</t>
  </si>
  <si>
    <t>Infaq Ustadz Tarawih 16 Maret 2024</t>
  </si>
  <si>
    <t>Infaq Ustadz Tarawih 17 Maret 2024</t>
  </si>
  <si>
    <t>Infaq Ustadz Tarawih 23 Maret 2024</t>
  </si>
  <si>
    <t>Pembukaan Kotak Amal 24 Maret 2024</t>
  </si>
  <si>
    <t>Kotak Amal 29 Maret 2024</t>
  </si>
  <si>
    <t>Pembukaan Kotak Amal 29 Maret 2025</t>
  </si>
  <si>
    <t>Infaq Khtotib Jum'at  19 April 2024</t>
  </si>
  <si>
    <t>Kotak Amal 20 April 2024</t>
  </si>
  <si>
    <t>Pembukaan Kotak Amal</t>
  </si>
  <si>
    <t xml:space="preserve">Gaji Bang Zaeni Bulan April </t>
  </si>
  <si>
    <t>Alokasi Dana RW untuk DKM Bulan Maret 2024</t>
  </si>
  <si>
    <t>Alokasi dana RW untuk DKM bulan April 2024</t>
  </si>
  <si>
    <t>Subsidi TPA Bulan April 2024</t>
  </si>
  <si>
    <t>Kotak Amal 5 Mei 2024</t>
  </si>
  <si>
    <t>Subsidi TPA Bulan Mei 2024</t>
  </si>
  <si>
    <t>Penghitungan Kotak Amal ( 2 x Pembukaan)</t>
  </si>
  <si>
    <t>Alokasi Dana RW untuk DKM Bulan Mei 2024</t>
  </si>
  <si>
    <t>Infaq Khotib Jum'at  5 April 2024</t>
  </si>
  <si>
    <t xml:space="preserve">Infaq Ustadz Khotib Idul Adha </t>
  </si>
  <si>
    <t>Subsidi TPA Bulan Juni 2024</t>
  </si>
  <si>
    <t xml:space="preserve">Kegiatan TPA untuk penyambutan Muharram </t>
  </si>
  <si>
    <t>Gaji Bang Zaeni Bulan Juli</t>
  </si>
  <si>
    <t>Dana Operasional Majelis Ta'lim Bulan Juli</t>
  </si>
  <si>
    <t>Alokasi dana RW untuk DKM bulan Juni 2024</t>
  </si>
  <si>
    <t>Alokasi dana RW untuk DKM bulan Juli 2024</t>
  </si>
  <si>
    <t>Pembukaan Kotak Amal (3 x Pembukaan )</t>
  </si>
  <si>
    <t>Kotak Amal 11 Agustus 2024</t>
  </si>
  <si>
    <t>Gaji Bang Zaeni Bulan Agustus</t>
  </si>
  <si>
    <t xml:space="preserve">Subsidi TPA </t>
  </si>
  <si>
    <t>Pembelian Token Listrik</t>
  </si>
  <si>
    <t>Alokasi dana RW untuk DKM bulan Agustus 2024</t>
  </si>
  <si>
    <t>Snack Acara Maulid Nabi Muhammad SAW</t>
  </si>
  <si>
    <t>Hadiah Lomba Acara Maulid Nabi Muhammad SAW</t>
  </si>
  <si>
    <t xml:space="preserve">Transport Ustadz Kajian Umum </t>
  </si>
  <si>
    <t xml:space="preserve">Pengerjaan AC Masjid </t>
  </si>
  <si>
    <t>Kotak Amal 5 Okt 2024</t>
  </si>
  <si>
    <t>Belanja Perbaikan TOA Masjid</t>
  </si>
  <si>
    <t>Transfer dari Kas Pembangunan untuk Pekerjaan AC Masjid</t>
  </si>
  <si>
    <t>Alokasi dana RW untuk DKM bulan September 2024</t>
  </si>
  <si>
    <t>Dana untuk Kegiatan Majelis Ta'lim</t>
  </si>
  <si>
    <t>Gaji Bang Zaini Bulan Oktober 2024</t>
  </si>
  <si>
    <t>Kotak Amal 26 Okt 2024</t>
  </si>
  <si>
    <t>Kotak Amal 10 Nov 2024</t>
  </si>
  <si>
    <t>Kotak Amal 27 Nov 2024</t>
  </si>
  <si>
    <t>Subsidi TPA Bulan Oktober 2024</t>
  </si>
  <si>
    <t>Alokasi dana RW untuk DKM bulan Oktober 2024</t>
  </si>
  <si>
    <t>Penggantian dana Infaq Ustadz Khotib Jum'at</t>
  </si>
  <si>
    <t>Bantuan untuk Pengobatan istri babe kus</t>
  </si>
  <si>
    <t xml:space="preserve">Dana untuk majelis Ta'lim </t>
  </si>
  <si>
    <t>Gaji Bang Zaini Bulan November 2024</t>
  </si>
  <si>
    <t>Gaji Bang Zaini Bulan Desember 2024</t>
  </si>
  <si>
    <t>Alokasi dana RW untuk DKM bulan November 2024</t>
  </si>
  <si>
    <t>Alokasi dana RW untuk DKM bulan Desember 2024</t>
  </si>
  <si>
    <t>Subsidi untuk TPA Desember</t>
  </si>
  <si>
    <t xml:space="preserve">Subsidi untuk TPA November </t>
  </si>
  <si>
    <t>Kotak Amal 3 Januari 2025</t>
  </si>
  <si>
    <t>Kotak Amal 19 Januari 2025</t>
  </si>
  <si>
    <t>Dana Operasional Majelis Ta'lim</t>
  </si>
  <si>
    <t>Pembukaan Kotak  Amal 3 Januari 2025</t>
  </si>
  <si>
    <t>Pembukaan Kotak Amal 19 Januari</t>
  </si>
  <si>
    <t xml:space="preserve">Alokasi dana RW untuk DKM bulan Januari </t>
  </si>
  <si>
    <t xml:space="preserve">Subsidi untuk TPA Bulan Januari </t>
  </si>
  <si>
    <t>Kotak Amal 9 Februari 2025</t>
  </si>
  <si>
    <t>Akomodasi ustadzah Majelis Ta'lim</t>
  </si>
  <si>
    <t xml:space="preserve">Donasi pak Yeni Rahman </t>
  </si>
  <si>
    <t>Pembukaan Kotak Infaq 9 Februari 2025</t>
  </si>
  <si>
    <t>Infaq Kotak Jum'at 14 Februari</t>
  </si>
  <si>
    <t>Gaji Bang Zaeni Januari 2025</t>
  </si>
  <si>
    <t>Subsidi TPA bulan Februari 2025</t>
  </si>
  <si>
    <t>Alokasi dana RW untuk DKM bulan Februari 2025</t>
  </si>
  <si>
    <t xml:space="preserve">Gaji Bang Zaeni Bulan Februari </t>
  </si>
  <si>
    <t>Pembukaan Kotak Amal 1 Maret 2025</t>
  </si>
  <si>
    <t>Kotak Amal 1 Maret 2025</t>
  </si>
  <si>
    <t>Kotak Amal 8 Maret 2025</t>
  </si>
  <si>
    <t>Infaq Ustadz Sholat Tarawih, 2 Maret 2025</t>
  </si>
  <si>
    <t>Infaq Ustadz Sholat Tarawih, 3 Maret 2025</t>
  </si>
  <si>
    <t>Pembukaan Kotak Infaq 8 Maret 2025</t>
  </si>
  <si>
    <t>Infaq Ustadz Sholat Tarawih, 5 Maret 2025</t>
  </si>
  <si>
    <t xml:space="preserve">Infaq dari Bapak Hardian </t>
  </si>
  <si>
    <t>Infaq Ustadz Khotib Jum'at, 14 Maret 2025</t>
  </si>
  <si>
    <t xml:space="preserve">infaq hamba Allah </t>
  </si>
  <si>
    <t>Penerimaan Donasi Bulan Maret per 23 Maret 2025</t>
  </si>
  <si>
    <t>Infaq Ustadz Sholat Tarawih, 8 Maret 2025</t>
  </si>
  <si>
    <t xml:space="preserve">Pembelian Token Listik </t>
  </si>
  <si>
    <t>Gaji + THR Bang Zaeni Maret 2025</t>
  </si>
  <si>
    <t>Kotak Amal 22 Maret 2025</t>
  </si>
  <si>
    <t>Kotak Amal 26 Maret 2025</t>
  </si>
  <si>
    <t>Infaq Ustadz Sholat Tarawih, 15 Maret 2025</t>
  </si>
  <si>
    <t>Kotak Amal 26 Maret 2026</t>
  </si>
  <si>
    <t>Penukaran Receh Kotak Amal 26 Maret</t>
  </si>
  <si>
    <t>Alokasi dana RW untuk DKM di bulan Maret 2025</t>
  </si>
  <si>
    <t>Pembukaan Kotak 18 April 2025</t>
  </si>
  <si>
    <t>Kotak Amal 18 April 2025</t>
  </si>
  <si>
    <t>Penerimaan Infaq Transfer Bulan April 2025</t>
  </si>
  <si>
    <t xml:space="preserve">Gaji Bang Zaini Bulan April </t>
  </si>
  <si>
    <t>Reimburse Infaq Khotib Jum'at 25 April 2025</t>
  </si>
  <si>
    <t>Subsidi TPA Bulan April 2025</t>
  </si>
  <si>
    <t>Alokasi dana RW untuk DKM di bulan April 2025</t>
  </si>
  <si>
    <t>Infaq Khotib Jum'at 2 Mei 2025</t>
  </si>
  <si>
    <t>Infaq Ustadz Halal Bihalal Warga 3 Mei 2025</t>
  </si>
  <si>
    <t xml:space="preserve">Penggabungan Dana Pembangunan dan Operasional </t>
  </si>
  <si>
    <t xml:space="preserve">Pembayaran DP Karpet Masjid </t>
  </si>
  <si>
    <t>Setoran Pembukaan Kotak Amal 11 Mei 2025</t>
  </si>
  <si>
    <t>Pelunasan Karpet Masjid</t>
  </si>
  <si>
    <t>infag khotib jum'at</t>
  </si>
  <si>
    <t>Gaji Bang Zaeni Bulan Mei</t>
  </si>
  <si>
    <t xml:space="preserve">infaq dari Jamaah via transfer dan QRIS </t>
  </si>
  <si>
    <t>Subsidi TPA Bulan Mei 2025</t>
  </si>
  <si>
    <t xml:space="preserve">Pembelian Speaker Masjid </t>
  </si>
  <si>
    <t>Reimburse Infaq Khotib Jum'at</t>
  </si>
  <si>
    <t>Infaq Khotib Jum'at 20 Juni 2025</t>
  </si>
  <si>
    <t xml:space="preserve">Bantuan untuk Kegiatan TPA </t>
  </si>
  <si>
    <t>Subsidi TPA Bulan Juni 2025</t>
  </si>
  <si>
    <t>Setoran Pembukaan Kotak Amal 30 Juni 2025</t>
  </si>
  <si>
    <t>Pembukaan Kencleng dan disetorkan ke rekening masjid</t>
  </si>
  <si>
    <t xml:space="preserve">Sumbangan via transfer dari pak Yeni Rahman </t>
  </si>
  <si>
    <t>Reimburse Khotib Jum'at 4 Juli dan Transfer dana ke majelis ta'lim</t>
  </si>
  <si>
    <t>Infaq Khotib Jum'at 18 Juli 2025</t>
  </si>
  <si>
    <t>Setoran Pembukaan Kotak Amal 19 Juli 2025</t>
  </si>
  <si>
    <t>Transfer dana ke Majelis Ta'lim</t>
  </si>
  <si>
    <t>Gaji Bang Zaeni Bulan Juli 2025</t>
  </si>
  <si>
    <t>Alokasi dana RW untuk DKM di bulan Mei 2025</t>
  </si>
  <si>
    <t>Alokasi dana RW untuk DKM bulan Juni 2025</t>
  </si>
  <si>
    <t>Alokasi dana RW untuk DKM bulan Juli 2025</t>
  </si>
  <si>
    <t>Subsidi TPA Bulan Juli 2025</t>
  </si>
  <si>
    <t xml:space="preserve">Reimburse Infaq Khotib Jum'at </t>
  </si>
  <si>
    <t>Pembukaan Kotak Amal 17 Agustus 2025</t>
  </si>
  <si>
    <t>Kotak Amal 17 Agustus 2025</t>
  </si>
  <si>
    <t>Infaq Khotib Jum'at 29 Agustus 2025</t>
  </si>
  <si>
    <t>Alokasi dana RW untuk DKM di Bulan Agustus 2025</t>
  </si>
  <si>
    <t>Subsidi TPA Bulan Agustus 2025</t>
  </si>
  <si>
    <t xml:space="preserve">Jasa Penyambungan Kabel di lt 2 </t>
  </si>
  <si>
    <t>Kotak Amal 9 Septmber 2025</t>
  </si>
  <si>
    <t>Pembukaan Kotak Amal 9 September 2025</t>
  </si>
  <si>
    <t xml:space="preserve">Gaji Bang Zaeni Bulan September </t>
  </si>
  <si>
    <t>Alokasi dana dari RW bulan September</t>
  </si>
  <si>
    <t>Subsidi TPA Bulan September 2025</t>
  </si>
  <si>
    <t xml:space="preserve">Akumulasi infaq ke rekening DKM </t>
  </si>
  <si>
    <t>Pembukaan Kotak Amal 5 Oktober 2025</t>
  </si>
  <si>
    <t>Kotak Amal 5 Oktober 2025</t>
  </si>
  <si>
    <t>Kotak Amal 13 November 2025</t>
  </si>
  <si>
    <t>Infaq Khotib Jum'at 10 Oktober 2025</t>
  </si>
  <si>
    <t>Gaji Bang Zaeini Bulan Oktober</t>
  </si>
  <si>
    <t xml:space="preserve">Alokasi dana RW Bulan Oktober </t>
  </si>
  <si>
    <t>Subsidi TPA Bulan Oktober 2025</t>
  </si>
  <si>
    <t>Rekapan Infaq di rekening / QRIS</t>
  </si>
  <si>
    <t xml:space="preserve">Reimburse Pembelian Token Listrik </t>
  </si>
  <si>
    <t xml:space="preserve">Alokasi dana RW Bulan November </t>
  </si>
  <si>
    <t xml:space="preserve">Perekapan Kotak Amal 13 November </t>
  </si>
  <si>
    <t xml:space="preserve">Gaji Bang Zaeini Bulan November </t>
  </si>
  <si>
    <t>Kotak Amal 22 Desember 2025</t>
  </si>
  <si>
    <t xml:space="preserve">Pembukaan Kotak Amal 23 Desember </t>
  </si>
  <si>
    <t xml:space="preserve">Alokasi dana RW Bulan Desember </t>
  </si>
  <si>
    <t>Gaji Bang Zaeni Bulan Desember 2025</t>
  </si>
  <si>
    <t>Subsidi TPA Bulan Desember 2025</t>
  </si>
  <si>
    <t>Subsidi TPA Bulan November 2025</t>
  </si>
  <si>
    <t>Depok Jan 2026</t>
  </si>
  <si>
    <t>Kotak Amal 20 Januari 2025</t>
  </si>
  <si>
    <t>Pembukaan Kotak Amal 20 Januari 2026</t>
  </si>
  <si>
    <t>Pembelian Token Listrik 16 Januari 2026</t>
  </si>
  <si>
    <t xml:space="preserve">Gaji Bang Zaini Bulan Januari </t>
  </si>
  <si>
    <t xml:space="preserve">Pembayaran Service AC + Pasang Baru </t>
  </si>
  <si>
    <t xml:space="preserve">Alokasi dana RW bulan Januari </t>
  </si>
  <si>
    <t xml:space="preserve">Dana Kegiatan TPA Al Ikhlas </t>
  </si>
  <si>
    <t>Realisasi Pengajuan Majelis Ta'lim</t>
  </si>
  <si>
    <t>Subsidi TPA Bulan Januari 2026</t>
  </si>
  <si>
    <t xml:space="preserve">Anggaran Kegiatan Tarhib anak2 dan remaja </t>
  </si>
  <si>
    <t xml:space="preserve">Snack Tarhib Ramadhan </t>
  </si>
  <si>
    <t xml:space="preserve">Imam dan Ceramah Tarawih </t>
  </si>
  <si>
    <t xml:space="preserve">Konsumsi Rapat DKM </t>
  </si>
  <si>
    <t xml:space="preserve">Konsumsi saat Service AC + Pasang Baru </t>
  </si>
  <si>
    <t>Pembukaan Kotak Amal 20 Februari 2026</t>
  </si>
  <si>
    <t>Kotak Amal 20 Februari 2025</t>
  </si>
  <si>
    <t xml:space="preserve">                                              nn</t>
  </si>
  <si>
    <t xml:space="preserve">Sumbangan Kantor Pak Jalal </t>
  </si>
  <si>
    <t xml:space="preserve">Infaq Imam dan Ceramah Tarawih </t>
  </si>
  <si>
    <t>Summary Laporan Keuangan DKM Januari  - Februari 2025</t>
  </si>
  <si>
    <t>Gaji Bang Zaini Bulan Februari 2026</t>
  </si>
  <si>
    <t>Alokasi dana RW Bulan Februari 2026</t>
  </si>
  <si>
    <t xml:space="preserve">TOTAL </t>
  </si>
  <si>
    <t>Parcel Buah untuk syekh pembicara palestina</t>
  </si>
  <si>
    <t>Pembukaan kencleng 8 Maret</t>
  </si>
  <si>
    <t>Dana Kegiatan itikaf remaja</t>
  </si>
  <si>
    <t>Subsidi TPA Bulan Maret 2026</t>
  </si>
  <si>
    <t>Rekapan Infaq di rekening / QRIS per 13 Maret 2026</t>
  </si>
  <si>
    <t>Isi Token Listrik 1 Jt</t>
  </si>
  <si>
    <t>Infaq Transport Khotib / imam ied</t>
  </si>
  <si>
    <t>Gaji Bang Zaini Bulan Maret 2026</t>
  </si>
  <si>
    <t>Rekapan Infaq di rekening / QRIS per 6 April 2026</t>
  </si>
  <si>
    <t>Pembukaan Kotak Amal 7 April 2026</t>
  </si>
  <si>
    <t>Kotak Amal 7 April 2026</t>
  </si>
  <si>
    <t>Rekapan Infaq Qris 6 - 13 April 2026</t>
  </si>
  <si>
    <t>Infaq Ustadz Halal Bihalal Warga 21 April 2026</t>
  </si>
  <si>
    <t>buah untuk Ustadz Halal Bihalal Warga 21 April 2026</t>
  </si>
  <si>
    <t xml:space="preserve">Gaji Bang Zaeini Bulan April </t>
  </si>
  <si>
    <t>Subsidi TPA Bulan April 2026</t>
  </si>
  <si>
    <t xml:space="preserve">isi Token Listrik 500 Ribu </t>
  </si>
  <si>
    <t>Alokasi Dana RW untuk DKM Bulan Maret 2026</t>
  </si>
  <si>
    <t>Alokasi dana dari RW bulan April 2026</t>
  </si>
  <si>
    <t>Gaji Bang Zaini Bulan Mei 2026</t>
  </si>
  <si>
    <t>Alokasi dana RW Bulan Mei 2026</t>
  </si>
  <si>
    <t>Tambahan Infaq Ustadz untuk acara remaja masjid</t>
  </si>
  <si>
    <t>Subsidi TPA Bulan Mei 2026</t>
  </si>
  <si>
    <t>Penghitungan Kotak Amal 21 Mei 2026</t>
  </si>
  <si>
    <t>Kotak Amal 21 Mei 2026</t>
  </si>
  <si>
    <t>Rekapan Infaq di rekening / QRIS/</t>
  </si>
  <si>
    <t>Saldo Bulan Maret 2026</t>
  </si>
  <si>
    <t>Kotak Amal 14 Juni 2026</t>
  </si>
  <si>
    <t>Pemasukan dari rekening / qris</t>
  </si>
  <si>
    <t>Penghitungan Kotak Amal 14 Juni 2026</t>
  </si>
  <si>
    <t>Gaji Bang Zaini Bulan Juni</t>
  </si>
  <si>
    <t>infaq khotib jum'at</t>
  </si>
  <si>
    <t>Token Listrik 500 Ribu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</si>
</sst>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(* #,##0_);_(* \(#,##0\);_(* &quot;-&quot;_);_(@_)"/>
    <numFmt numFmtId="164" formatCode="_-* #,##0_-;\-* #,##0_-;_-* &quot;-&quot;_-;_-@_-"/>
    <numFmt numFmtId="165" formatCode="[$Rp-421]#,##0.00"/>
    <numFmt numFmtId="166" formatCode="[$Rp-421]#,##0_);\([$Rp-421]#,##0\)"/>
    <numFmt numFmtId="167" formatCode="_(&quot;Rp&quot;* #,##0.00_);_(&quot;Rp&quot;* \(#,##0.00\);_(&quot;Rp&quot;* &quot;-&quot;_);_(@_)"/>
    <numFmt numFmtId="168" formatCode="[$-F800]dddd\,\ mmmm\ dd\,\ yyyy"/>
    <numFmt numFmtId="169" formatCode="&quot;Rp&quot;#,##0.00"/>
    <numFmt numFmtId="170" formatCode="&quot;Rp&quot;#,##0"/>
  </numFmts>
  <fonts count="22" x14ac:knownFonts="1">
    <font>
      <sz val="11"/>
      <color theme="1"/>
      <name val="Calibri"/>
    </font>
    <font>
      <sz val="11"/>
      <color theme="1"/>
      <name val="Calibri"/>
      <family val="2"/>
      <scheme val="minor"/>
    </font>
    <font>
      <sz val="16"/>
      <color rgb="FF000000"/>
      <name val="Arial"/>
      <family val="2"/>
    </font>
    <font>
      <sz val="12"/>
      <color rgb="FF000000"/>
      <name val="Arial"/>
      <family val="2"/>
    </font>
    <font>
      <sz val="14"/>
      <color rgb="FF000000"/>
      <name val="Arial"/>
      <family val="2"/>
    </font>
    <font>
      <sz val="14"/>
      <color rgb="FF993300"/>
      <name val="Arial"/>
      <family val="2"/>
    </font>
    <font>
      <b/>
      <sz val="16"/>
      <color rgb="FFFF0000"/>
      <name val="Arial"/>
      <family val="2"/>
    </font>
    <font>
      <b/>
      <sz val="12"/>
      <color rgb="FF000000"/>
      <name val="Arial"/>
      <family val="2"/>
    </font>
    <font>
      <i/>
      <sz val="10"/>
      <color rgb="FF0066CC"/>
      <name val="Times New Roman"/>
      <family val="1"/>
    </font>
    <font>
      <sz val="8"/>
      <name val="Calibri"/>
      <family val="2"/>
    </font>
    <font>
      <sz val="12"/>
      <name val="Arial"/>
      <family val="2"/>
    </font>
    <font>
      <sz val="12"/>
      <color rgb="FF000000"/>
      <name val="Arial"/>
      <family val="2"/>
    </font>
    <font>
      <i/>
      <sz val="12"/>
      <name val="Arial"/>
      <family val="2"/>
    </font>
    <font>
      <sz val="11"/>
      <color theme="1"/>
      <name val="Calibri"/>
      <family val="2"/>
    </font>
    <font>
      <b/>
      <sz val="14"/>
      <color rgb="FF000000"/>
      <name val="Calibri"/>
      <family val="2"/>
      <scheme val="minor"/>
    </font>
    <font>
      <b/>
      <sz val="16"/>
      <color theme="1"/>
      <name val="Arial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  <scheme val="minor"/>
    </font>
    <font>
      <sz val="12"/>
      <color theme="1"/>
      <name val="Arial"/>
      <family val="2"/>
    </font>
    <font>
      <sz val="16"/>
      <color theme="1"/>
      <name val="Calibri"/>
      <family val="2"/>
    </font>
    <font>
      <b/>
      <sz val="14"/>
      <color theme="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FFFF99"/>
        <bgColor rgb="FFFFFF99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theme="3" tint="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E4D6"/>
        <bgColor rgb="FF000000"/>
      </patternFill>
    </fill>
  </fills>
  <borders count="2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164" fontId="13" fillId="0" borderId="0" applyFont="0" applyFill="0" applyBorder="0" applyAlignment="0" applyProtection="0"/>
    <xf numFmtId="0" fontId="1" fillId="0" borderId="0"/>
    <xf numFmtId="0" fontId="18" fillId="0" borderId="0" applyNumberFormat="0" applyFill="0" applyBorder="0" applyAlignment="0" applyProtection="0"/>
  </cellStyleXfs>
  <cellXfs count="99">
    <xf numFmtId="0" fontId="0" fillId="0" borderId="0" xfId="0"/>
    <xf numFmtId="0" fontId="3" fillId="0" borderId="0" xfId="0" applyFont="1"/>
    <xf numFmtId="0" fontId="4" fillId="0" borderId="0" xfId="0" applyFont="1" applyAlignment="1">
      <alignment horizontal="center"/>
    </xf>
    <xf numFmtId="165" fontId="4" fillId="0" borderId="0" xfId="0" applyNumberFormat="1" applyFont="1" applyAlignment="1">
      <alignment horizontal="center"/>
    </xf>
    <xf numFmtId="17" fontId="3" fillId="0" borderId="0" xfId="0" applyNumberFormat="1" applyFont="1"/>
    <xf numFmtId="17" fontId="3" fillId="0" borderId="0" xfId="0" applyNumberFormat="1" applyFont="1" applyAlignment="1">
      <alignment horizontal="right"/>
    </xf>
    <xf numFmtId="0" fontId="5" fillId="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14" fontId="3" fillId="3" borderId="1" xfId="0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 wrapText="1"/>
    </xf>
    <xf numFmtId="166" fontId="3" fillId="3" borderId="1" xfId="0" applyNumberFormat="1" applyFont="1" applyFill="1" applyBorder="1" applyAlignment="1">
      <alignment vertical="center"/>
    </xf>
    <xf numFmtId="166" fontId="3" fillId="3" borderId="1" xfId="0" applyNumberFormat="1" applyFont="1" applyFill="1" applyBorder="1"/>
    <xf numFmtId="0" fontId="3" fillId="0" borderId="2" xfId="0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 wrapText="1"/>
    </xf>
    <xf numFmtId="0" fontId="3" fillId="0" borderId="2" xfId="0" applyFont="1" applyBorder="1" applyAlignment="1">
      <alignment horizontal="left" vertical="center" wrapText="1"/>
    </xf>
    <xf numFmtId="166" fontId="3" fillId="4" borderId="1" xfId="0" applyNumberFormat="1" applyFont="1" applyFill="1" applyBorder="1" applyAlignment="1">
      <alignment vertical="center"/>
    </xf>
    <xf numFmtId="0" fontId="3" fillId="0" borderId="2" xfId="0" applyFont="1" applyBorder="1" applyAlignment="1">
      <alignment vertical="center"/>
    </xf>
    <xf numFmtId="166" fontId="3" fillId="0" borderId="1" xfId="0" applyNumberFormat="1" applyFont="1" applyBorder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0" fillId="0" borderId="1" xfId="0" applyBorder="1"/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8" fillId="0" borderId="0" xfId="0" applyFont="1"/>
    <xf numFmtId="0" fontId="11" fillId="0" borderId="1" xfId="0" applyFont="1" applyBorder="1" applyAlignment="1">
      <alignment vertical="center"/>
    </xf>
    <xf numFmtId="14" fontId="11" fillId="0" borderId="1" xfId="0" applyNumberFormat="1" applyFont="1" applyBorder="1" applyAlignment="1">
      <alignment horizontal="center" vertical="center" wrapText="1"/>
    </xf>
    <xf numFmtId="0" fontId="11" fillId="0" borderId="2" xfId="0" applyFont="1" applyBorder="1" applyAlignment="1">
      <alignment vertical="center"/>
    </xf>
    <xf numFmtId="0" fontId="11" fillId="0" borderId="3" xfId="0" applyFont="1" applyBorder="1" applyAlignment="1">
      <alignment vertical="center"/>
    </xf>
    <xf numFmtId="0" fontId="11" fillId="0" borderId="4" xfId="0" applyFont="1" applyBorder="1" applyAlignment="1">
      <alignment vertical="center"/>
    </xf>
    <xf numFmtId="166" fontId="3" fillId="0" borderId="0" xfId="0" applyNumberFormat="1" applyFont="1"/>
    <xf numFmtId="166" fontId="3" fillId="4" borderId="2" xfId="0" applyNumberFormat="1" applyFont="1" applyFill="1" applyBorder="1" applyAlignment="1">
      <alignment vertical="center"/>
    </xf>
    <xf numFmtId="166" fontId="3" fillId="0" borderId="2" xfId="0" applyNumberFormat="1" applyFont="1" applyBorder="1" applyAlignment="1">
      <alignment vertical="center"/>
    </xf>
    <xf numFmtId="0" fontId="3" fillId="0" borderId="7" xfId="0" applyFont="1" applyBorder="1" applyAlignment="1">
      <alignment vertical="center"/>
    </xf>
    <xf numFmtId="166" fontId="3" fillId="4" borderId="6" xfId="0" applyNumberFormat="1" applyFont="1" applyFill="1" applyBorder="1" applyAlignment="1">
      <alignment vertical="center"/>
    </xf>
    <xf numFmtId="0" fontId="0" fillId="0" borderId="8" xfId="0" applyBorder="1"/>
    <xf numFmtId="0" fontId="3" fillId="0" borderId="5" xfId="0" applyFont="1" applyBorder="1" applyAlignment="1">
      <alignment vertical="center"/>
    </xf>
    <xf numFmtId="166" fontId="3" fillId="4" borderId="5" xfId="0" applyNumberFormat="1" applyFont="1" applyFill="1" applyBorder="1" applyAlignment="1">
      <alignment vertical="center"/>
    </xf>
    <xf numFmtId="0" fontId="0" fillId="0" borderId="9" xfId="0" applyBorder="1"/>
    <xf numFmtId="166" fontId="3" fillId="4" borderId="10" xfId="0" applyNumberFormat="1" applyFont="1" applyFill="1" applyBorder="1" applyAlignment="1">
      <alignment vertical="center"/>
    </xf>
    <xf numFmtId="0" fontId="3" fillId="0" borderId="0" xfId="0" applyFont="1" applyAlignment="1">
      <alignment horizontal="center" vertical="center"/>
    </xf>
    <xf numFmtId="168" fontId="3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vertical="center"/>
    </xf>
    <xf numFmtId="166" fontId="3" fillId="4" borderId="0" xfId="0" applyNumberFormat="1" applyFont="1" applyFill="1" applyAlignment="1">
      <alignment vertical="center"/>
    </xf>
    <xf numFmtId="166" fontId="3" fillId="0" borderId="0" xfId="0" applyNumberFormat="1" applyFont="1" applyAlignment="1">
      <alignment vertical="center"/>
    </xf>
    <xf numFmtId="166" fontId="3" fillId="0" borderId="12" xfId="0" applyNumberFormat="1" applyFont="1" applyBorder="1" applyAlignment="1">
      <alignment vertical="center"/>
    </xf>
    <xf numFmtId="166" fontId="3" fillId="0" borderId="13" xfId="0" applyNumberFormat="1" applyFont="1" applyBorder="1" applyAlignment="1">
      <alignment vertical="center"/>
    </xf>
    <xf numFmtId="166" fontId="3" fillId="4" borderId="14" xfId="0" applyNumberFormat="1" applyFont="1" applyFill="1" applyBorder="1" applyAlignment="1">
      <alignment vertical="center"/>
    </xf>
    <xf numFmtId="169" fontId="0" fillId="0" borderId="0" xfId="0" applyNumberFormat="1"/>
    <xf numFmtId="170" fontId="0" fillId="0" borderId="0" xfId="0" applyNumberFormat="1"/>
    <xf numFmtId="164" fontId="0" fillId="0" borderId="0" xfId="1" applyFont="1"/>
    <xf numFmtId="0" fontId="14" fillId="7" borderId="5" xfId="0" applyFont="1" applyFill="1" applyBorder="1" applyAlignment="1">
      <alignment horizontal="center" vertical="center" wrapText="1"/>
    </xf>
    <xf numFmtId="41" fontId="14" fillId="7" borderId="5" xfId="0" applyNumberFormat="1" applyFont="1" applyFill="1" applyBorder="1" applyAlignment="1">
      <alignment horizontal="center" vertical="center" wrapText="1"/>
    </xf>
    <xf numFmtId="164" fontId="14" fillId="7" borderId="5" xfId="1" applyFont="1" applyFill="1" applyBorder="1" applyAlignment="1">
      <alignment horizontal="center" vertical="center" wrapText="1"/>
    </xf>
    <xf numFmtId="0" fontId="0" fillId="0" borderId="5" xfId="0" applyBorder="1"/>
    <xf numFmtId="170" fontId="16" fillId="0" borderId="0" xfId="0" applyNumberFormat="1" applyFont="1"/>
    <xf numFmtId="170" fontId="17" fillId="0" borderId="0" xfId="0" applyNumberFormat="1" applyFont="1"/>
    <xf numFmtId="14" fontId="10" fillId="5" borderId="1" xfId="0" applyNumberFormat="1" applyFont="1" applyFill="1" applyBorder="1" applyAlignment="1">
      <alignment horizontal="center" vertical="center" wrapText="1"/>
    </xf>
    <xf numFmtId="14" fontId="10" fillId="0" borderId="1" xfId="0" applyNumberFormat="1" applyFont="1" applyBorder="1" applyAlignment="1">
      <alignment horizontal="center" vertical="center" wrapText="1"/>
    </xf>
    <xf numFmtId="14" fontId="12" fillId="0" borderId="1" xfId="0" applyNumberFormat="1" applyFont="1" applyBorder="1" applyAlignment="1" applyProtection="1">
      <alignment horizontal="center" vertical="center" wrapText="1"/>
      <protection locked="0"/>
    </xf>
    <xf numFmtId="14" fontId="12" fillId="5" borderId="1" xfId="0" applyNumberFormat="1" applyFont="1" applyFill="1" applyBorder="1" applyAlignment="1">
      <alignment horizontal="center" vertical="center" wrapText="1"/>
    </xf>
    <xf numFmtId="14" fontId="3" fillId="0" borderId="2" xfId="0" applyNumberFormat="1" applyFont="1" applyBorder="1" applyAlignment="1">
      <alignment horizontal="center" vertical="center" wrapText="1"/>
    </xf>
    <xf numFmtId="14" fontId="3" fillId="0" borderId="8" xfId="0" applyNumberFormat="1" applyFont="1" applyBorder="1" applyAlignment="1">
      <alignment horizontal="center" vertical="center" wrapText="1"/>
    </xf>
    <xf numFmtId="14" fontId="3" fillId="0" borderId="5" xfId="0" applyNumberFormat="1" applyFont="1" applyBorder="1" applyAlignment="1">
      <alignment horizontal="center" vertical="center" wrapText="1"/>
    </xf>
    <xf numFmtId="14" fontId="3" fillId="0" borderId="6" xfId="0" applyNumberFormat="1" applyFont="1" applyBorder="1" applyAlignment="1">
      <alignment horizontal="center" vertical="center" wrapText="1"/>
    </xf>
    <xf numFmtId="14" fontId="3" fillId="0" borderId="11" xfId="0" applyNumberFormat="1" applyFont="1" applyBorder="1" applyAlignment="1">
      <alignment horizontal="center" vertical="center" wrapText="1"/>
    </xf>
    <xf numFmtId="0" fontId="3" fillId="0" borderId="15" xfId="0" applyFont="1" applyBorder="1" applyAlignment="1">
      <alignment vertical="center"/>
    </xf>
    <xf numFmtId="166" fontId="0" fillId="0" borderId="0" xfId="0" applyNumberFormat="1"/>
    <xf numFmtId="14" fontId="3" fillId="0" borderId="17" xfId="0" applyNumberFormat="1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/>
    </xf>
    <xf numFmtId="14" fontId="3" fillId="0" borderId="18" xfId="0" applyNumberFormat="1" applyFont="1" applyBorder="1" applyAlignment="1">
      <alignment horizontal="center" vertical="center" wrapText="1"/>
    </xf>
    <xf numFmtId="0" fontId="3" fillId="0" borderId="16" xfId="0" applyFont="1" applyBorder="1" applyAlignment="1">
      <alignment vertical="center"/>
    </xf>
    <xf numFmtId="0" fontId="19" fillId="0" borderId="5" xfId="0" applyFont="1" applyBorder="1"/>
    <xf numFmtId="166" fontId="3" fillId="4" borderId="11" xfId="0" applyNumberFormat="1" applyFont="1" applyFill="1" applyBorder="1" applyAlignment="1">
      <alignment vertical="center"/>
    </xf>
    <xf numFmtId="166" fontId="3" fillId="3" borderId="6" xfId="0" applyNumberFormat="1" applyFont="1" applyFill="1" applyBorder="1" applyAlignment="1">
      <alignment vertical="center"/>
    </xf>
    <xf numFmtId="0" fontId="13" fillId="0" borderId="0" xfId="0" applyFont="1"/>
    <xf numFmtId="166" fontId="3" fillId="4" borderId="17" xfId="0" applyNumberFormat="1" applyFont="1" applyFill="1" applyBorder="1" applyAlignment="1">
      <alignment vertical="center"/>
    </xf>
    <xf numFmtId="166" fontId="3" fillId="4" borderId="8" xfId="0" applyNumberFormat="1" applyFont="1" applyFill="1" applyBorder="1" applyAlignment="1">
      <alignment vertical="center"/>
    </xf>
    <xf numFmtId="166" fontId="7" fillId="3" borderId="6" xfId="0" applyNumberFormat="1" applyFont="1" applyFill="1" applyBorder="1" applyAlignment="1">
      <alignment vertical="center"/>
    </xf>
    <xf numFmtId="166" fontId="3" fillId="0" borderId="5" xfId="0" applyNumberFormat="1" applyFont="1" applyBorder="1" applyAlignment="1">
      <alignment vertical="center"/>
    </xf>
    <xf numFmtId="167" fontId="6" fillId="3" borderId="25" xfId="0" applyNumberFormat="1" applyFont="1" applyFill="1" applyBorder="1" applyAlignment="1">
      <alignment vertical="center"/>
    </xf>
    <xf numFmtId="14" fontId="3" fillId="3" borderId="5" xfId="0" applyNumberFormat="1" applyFont="1" applyFill="1" applyBorder="1" applyAlignment="1">
      <alignment horizontal="center" vertical="center" wrapText="1"/>
    </xf>
    <xf numFmtId="14" fontId="3" fillId="0" borderId="26" xfId="0" applyNumberFormat="1" applyFont="1" applyBorder="1" applyAlignment="1">
      <alignment horizontal="center" vertical="center" wrapText="1"/>
    </xf>
    <xf numFmtId="0" fontId="3" fillId="0" borderId="27" xfId="0" applyFont="1" applyBorder="1" applyAlignment="1">
      <alignment vertical="center"/>
    </xf>
    <xf numFmtId="166" fontId="21" fillId="0" borderId="0" xfId="0" applyNumberFormat="1" applyFont="1"/>
    <xf numFmtId="0" fontId="16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7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15" fillId="6" borderId="19" xfId="0" applyFont="1" applyFill="1" applyBorder="1" applyAlignment="1">
      <alignment horizontal="center" vertical="center"/>
    </xf>
    <xf numFmtId="0" fontId="15" fillId="6" borderId="20" xfId="0" applyFont="1" applyFill="1" applyBorder="1" applyAlignment="1">
      <alignment horizontal="center" vertical="center"/>
    </xf>
    <xf numFmtId="0" fontId="15" fillId="6" borderId="21" xfId="0" applyFont="1" applyFill="1" applyBorder="1" applyAlignment="1">
      <alignment horizontal="center" vertical="center"/>
    </xf>
    <xf numFmtId="0" fontId="15" fillId="6" borderId="22" xfId="0" applyFont="1" applyFill="1" applyBorder="1" applyAlignment="1">
      <alignment horizontal="center" vertical="center"/>
    </xf>
    <xf numFmtId="0" fontId="15" fillId="6" borderId="23" xfId="0" applyFont="1" applyFill="1" applyBorder="1" applyAlignment="1">
      <alignment horizontal="center" vertical="center"/>
    </xf>
    <xf numFmtId="0" fontId="15" fillId="6" borderId="24" xfId="0" applyFont="1" applyFill="1" applyBorder="1" applyAlignment="1">
      <alignment horizontal="center" vertical="center"/>
    </xf>
    <xf numFmtId="0" fontId="20" fillId="0" borderId="0" xfId="0" applyFont="1" applyAlignment="1">
      <alignment horizontal="center"/>
    </xf>
  </cellXfs>
  <cellStyles count="4">
    <cellStyle name="Comma [0]" xfId="1" builtinId="6"/>
    <cellStyle name="Hyperlink 2" xfId="3" xr:uid="{EC59E463-A368-4548-A6D2-8701EDC59DA2}"/>
    <cellStyle name="Normal" xfId="0" builtinId="0"/>
    <cellStyle name="Normal 2" xfId="2" xr:uid="{A020B1F6-4DF9-40D2-809B-A69C4E983C36}"/>
  </cellStyles>
  <dxfs count="6"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628650</xdr:colOff>
      <xdr:row>0</xdr:row>
      <xdr:rowOff>0</xdr:rowOff>
    </xdr:from>
    <xdr:ext cx="7048500" cy="771525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1836038" y="3403763"/>
          <a:ext cx="7019925" cy="752475"/>
        </a:xfrm>
        <a:prstGeom prst="horizontalScroll">
          <a:avLst>
            <a:gd name="adj" fmla="val 12500"/>
          </a:avLst>
        </a:prstGeom>
        <a:solidFill>
          <a:srgbClr val="00B050"/>
        </a:solidFill>
        <a:ln w="25400" cap="flat" cmpd="sng">
          <a:solidFill>
            <a:srgbClr val="F79646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600" i="0" u="none" strike="noStrike">
              <a:solidFill>
                <a:srgbClr val="000000"/>
              </a:solidFill>
              <a:latin typeface="Arial"/>
              <a:ea typeface="Arial"/>
              <a:cs typeface="Arial"/>
              <a:sym typeface="Arial"/>
            </a:rPr>
            <a:t>LAPORAN KEUANGAN</a:t>
          </a:r>
          <a:endParaRPr sz="1400"/>
        </a:p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600" i="0" u="none" strike="noStrike">
              <a:solidFill>
                <a:srgbClr val="000000"/>
              </a:solidFill>
              <a:latin typeface="Arial"/>
              <a:ea typeface="Arial"/>
              <a:cs typeface="Arial"/>
              <a:sym typeface="Arial"/>
            </a:rPr>
            <a:t>MASJID  AL IKHLAS PERUMAHAN BUKIT SUTERA</a:t>
          </a:r>
          <a:endParaRPr sz="1400"/>
        </a:p>
      </xdr:txBody>
    </xdr:sp>
    <xdr:clientData fLocksWithSheet="0"/>
  </xdr:oneCellAnchor>
  <xdr:oneCellAnchor>
    <xdr:from>
      <xdr:col>2</xdr:col>
      <xdr:colOff>1571625</xdr:colOff>
      <xdr:row>3</xdr:row>
      <xdr:rowOff>57150</xdr:rowOff>
    </xdr:from>
    <xdr:ext cx="4533900" cy="457200"/>
    <xdr:sp macro="" textlink="">
      <xdr:nvSpPr>
        <xdr:cNvPr id="4" name="Shape 4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>
          <a:off x="3088575" y="3560925"/>
          <a:ext cx="4514850" cy="438150"/>
        </a:xfrm>
        <a:prstGeom prst="roundRect">
          <a:avLst>
            <a:gd name="adj" fmla="val 16667"/>
          </a:avLst>
        </a:prstGeom>
        <a:solidFill>
          <a:srgbClr val="92D050"/>
        </a:solidFill>
        <a:ln w="25400" cap="flat" cmpd="sng">
          <a:solidFill>
            <a:srgbClr val="F79646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400" i="0" u="none" strike="noStrike">
              <a:solidFill>
                <a:srgbClr val="000000"/>
              </a:solidFill>
              <a:latin typeface="Arial"/>
              <a:ea typeface="Arial"/>
              <a:cs typeface="Arial"/>
              <a:sym typeface="Arial"/>
            </a:rPr>
            <a:t>BULAN : Sampai</a:t>
          </a:r>
          <a:r>
            <a:rPr lang="en-US" sz="1400" i="0" u="none" strike="noStrike" baseline="0">
              <a:solidFill>
                <a:sysClr val="windowText" lastClr="000000"/>
              </a:solidFill>
              <a:latin typeface="+mn-lt"/>
              <a:ea typeface="+mn-ea"/>
              <a:cs typeface="+mn-cs"/>
              <a:sym typeface="Arial"/>
            </a:rPr>
            <a:t> 28 Januari </a:t>
          </a:r>
          <a:r>
            <a:rPr lang="en-US" sz="1400" i="0" u="none" strike="noStrike">
              <a:solidFill>
                <a:srgbClr val="000000"/>
              </a:solidFill>
              <a:latin typeface="Arial"/>
              <a:ea typeface="Arial"/>
              <a:cs typeface="Arial"/>
              <a:sym typeface="Arial"/>
            </a:rPr>
            <a:t>2024</a:t>
          </a:r>
          <a:endParaRPr sz="1400"/>
        </a:p>
      </xdr:txBody>
    </xdr:sp>
    <xdr:clientData fLocksWithSheet="0"/>
  </xdr:oneCellAnchor>
  <xdr:oneCellAnchor>
    <xdr:from>
      <xdr:col>0</xdr:col>
      <xdr:colOff>47625</xdr:colOff>
      <xdr:row>0</xdr:row>
      <xdr:rowOff>76200</xdr:rowOff>
    </xdr:from>
    <xdr:ext cx="2009775" cy="1143000"/>
    <xdr:pic>
      <xdr:nvPicPr>
        <xdr:cNvPr id="2" name="image1.jp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/Users/sanda/AppData/Local/Temp/6848c02b-948e-4125-8cf5-f0a8969ded7f_AK051AWXL%20-%20Excel%20Akuntansi%20Masjid.zip.d7f/XL%20Akoontan%20-%20Yayasan%20Masjid%20V4.88%20-%20Contoh%20Isian.xlsx" TargetMode="External"/><Relationship Id="rId1" Type="http://schemas.openxmlformats.org/officeDocument/2006/relationships/externalLinkPath" Target="file:///C:/Users/sanda/AppData/Local/Temp/6848c02b-948e-4125-8cf5-f0a8969ded7f_AK051AWXL%20-%20Excel%20Akuntansi%20Masjid.zip.d7f/XL%20Akoontan%20-%20Yayasan%20Masjid%20V4.88%20-%20Contoh%20Isia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enu"/>
      <sheetName val="Data Yayasan"/>
      <sheetName val="Daftar Akun Keuangan"/>
      <sheetName val="Setup | Pembayaran di Muka"/>
      <sheetName val="Daftar Program"/>
      <sheetName val="Daftar Donatur"/>
      <sheetName val="Daftar Donasi"/>
      <sheetName val="Penerimaan | Pengeluaran"/>
      <sheetName val="Rekap Kas Tempat Ibadah"/>
      <sheetName val="Penerimaan Lain"/>
      <sheetName val="Pengeluaran Lain"/>
      <sheetName val="Mutasi Rekening"/>
      <sheetName val="Penyusutan"/>
      <sheetName val="No Tanda Terima"/>
      <sheetName val="Kuitansi"/>
      <sheetName val="Buku Kas"/>
      <sheetName val="Laporan Penghasilan Bulanan"/>
      <sheetName val="Laporan Penghasilan Bulanan (2)"/>
      <sheetName val="Laporan Program"/>
      <sheetName val="Laporan Penghasilan"/>
      <sheetName val="Laporan Penghasilan Unit Usaha"/>
      <sheetName val="Laporan | Neraca"/>
      <sheetName val="Laporan Arus Kas Bulanan"/>
      <sheetName val="Laporan Arus Kas"/>
      <sheetName val="Laporan Ekuitas"/>
      <sheetName val="Laporan Aset"/>
      <sheetName val="Laporan Realisasi Program"/>
      <sheetName val="Grafik Keuangan"/>
      <sheetName val="About"/>
      <sheetName val="Lisensi"/>
      <sheetName val="Cara Penggunaan"/>
    </sheetNames>
    <sheetDataSet>
      <sheetData sheetId="0" refreshError="1"/>
      <sheetData sheetId="1" refreshError="1">
        <row r="7">
          <cell r="B7">
            <v>43466</v>
          </cell>
        </row>
        <row r="10">
          <cell r="D10" t="str">
            <v>Yayasan Ar Raudhah</v>
          </cell>
        </row>
        <row r="11">
          <cell r="D11" t="str">
            <v>Masjid Ar Raudhah</v>
          </cell>
        </row>
        <row r="12">
          <cell r="D12" t="str">
            <v>Jl Terus Terang</v>
          </cell>
        </row>
        <row r="13">
          <cell r="D13" t="str">
            <v>Bandung</v>
          </cell>
        </row>
        <row r="14">
          <cell r="D14" t="str">
            <v>Jawa Barat</v>
          </cell>
        </row>
        <row r="22">
          <cell r="D22" t="str">
            <v>Muh. Yamin</v>
          </cell>
        </row>
        <row r="23">
          <cell r="D23" t="str">
            <v>Indra Djati</v>
          </cell>
        </row>
        <row r="24">
          <cell r="D24" t="str">
            <v>Prijono</v>
          </cell>
        </row>
        <row r="27">
          <cell r="D27">
            <v>44185</v>
          </cell>
        </row>
      </sheetData>
      <sheetData sheetId="2" refreshError="1">
        <row r="6">
          <cell r="D6" t="str">
            <v>▒ NERACA</v>
          </cell>
        </row>
        <row r="7">
          <cell r="D7" t="str">
            <v>▒ ASET</v>
          </cell>
        </row>
        <row r="8">
          <cell r="D8" t="str">
            <v>▒ Aset Lancar</v>
          </cell>
        </row>
        <row r="9">
          <cell r="D9" t="str">
            <v>Bank Daerah</v>
          </cell>
        </row>
        <row r="10">
          <cell r="D10" t="str">
            <v>Kas</v>
          </cell>
        </row>
        <row r="11">
          <cell r="D11" t="str">
            <v>BCA</v>
          </cell>
          <cell r="E11">
            <v>500000</v>
          </cell>
        </row>
        <row r="12">
          <cell r="D12" t="str">
            <v>BRI</v>
          </cell>
        </row>
        <row r="13">
          <cell r="D13" t="str">
            <v>Bank Mandiri</v>
          </cell>
        </row>
        <row r="14">
          <cell r="D14" t="str">
            <v>Bank 2</v>
          </cell>
        </row>
        <row r="15">
          <cell r="D15" t="str">
            <v>Bank 3</v>
          </cell>
        </row>
        <row r="16">
          <cell r="D16" t="str">
            <v>Bank 4</v>
          </cell>
        </row>
        <row r="17">
          <cell r="D17" t="str">
            <v>Pengeluaran dibayar di Muka</v>
          </cell>
        </row>
        <row r="18">
          <cell r="D18" t="str">
            <v>Piutang Pinjaman</v>
          </cell>
        </row>
        <row r="19">
          <cell r="D19" t="str">
            <v>Piutang SPP</v>
          </cell>
        </row>
        <row r="20">
          <cell r="D20" t="str">
            <v>Piutang Pinjaman Karyawan</v>
          </cell>
        </row>
        <row r="21">
          <cell r="D21" t="str">
            <v>Piutang Usaha</v>
          </cell>
        </row>
        <row r="22">
          <cell r="D22" t="str">
            <v>Piutang Donasi/Sumbangan</v>
          </cell>
        </row>
        <row r="23">
          <cell r="D23" t="str">
            <v>▒ Aset Tetap</v>
          </cell>
        </row>
        <row r="24">
          <cell r="D24" t="str">
            <v>Inventaris Kantor</v>
          </cell>
          <cell r="K24" t="str">
            <v>Bank Daerah</v>
          </cell>
        </row>
        <row r="25">
          <cell r="D25" t="str">
            <v>Inventaris Kendaraan</v>
          </cell>
          <cell r="K25" t="str">
            <v>Kas</v>
          </cell>
        </row>
        <row r="26">
          <cell r="D26" t="str">
            <v>Inventaris Elektronik</v>
          </cell>
          <cell r="K26" t="str">
            <v>BCA</v>
          </cell>
        </row>
        <row r="27">
          <cell r="D27" t="str">
            <v>Inventaris Tanah dan Bangunan</v>
          </cell>
          <cell r="K27" t="str">
            <v>BRI</v>
          </cell>
        </row>
        <row r="28">
          <cell r="D28" t="str">
            <v>Akumulasi Penyusutan Inventaris Kantor</v>
          </cell>
          <cell r="K28" t="str">
            <v>Bank Mandiri</v>
          </cell>
        </row>
        <row r="29">
          <cell r="D29" t="str">
            <v>Akumulasi Penyusutan Inventaris Kendaraan</v>
          </cell>
          <cell r="K29" t="str">
            <v>Bank 2</v>
          </cell>
        </row>
        <row r="30">
          <cell r="D30" t="str">
            <v>Akumulasi Penyusutan Inventaris Elektronik</v>
          </cell>
          <cell r="K30" t="str">
            <v>Bank 3</v>
          </cell>
        </row>
        <row r="31">
          <cell r="D31" t="str">
            <v>Akumulasi Penyusutan Inventaris Tanah dan Bangunan</v>
          </cell>
          <cell r="K31" t="str">
            <v>Bank 4</v>
          </cell>
        </row>
        <row r="32">
          <cell r="D32" t="str">
            <v>▒ TOTAL ASET</v>
          </cell>
          <cell r="K32" t="str">
            <v>Utang Usaha</v>
          </cell>
        </row>
        <row r="33">
          <cell r="D33" t="str">
            <v>LIABILITAS DAN ASET NETO</v>
          </cell>
          <cell r="K33" t="str">
            <v>Utang Usaha Lain-Lain</v>
          </cell>
        </row>
        <row r="34">
          <cell r="D34" t="str">
            <v>▒ Liabilitas Lancar</v>
          </cell>
        </row>
        <row r="35">
          <cell r="D35" t="str">
            <v>Utang Usaha</v>
          </cell>
        </row>
        <row r="36">
          <cell r="D36" t="str">
            <v>Utang Usaha Lain-Lain</v>
          </cell>
          <cell r="K36" t="str">
            <v>Bank Daerah</v>
          </cell>
        </row>
        <row r="37">
          <cell r="D37" t="str">
            <v>Uang Jaminan</v>
          </cell>
          <cell r="K37" t="str">
            <v>Kas</v>
          </cell>
        </row>
        <row r="38">
          <cell r="D38" t="str">
            <v>Pendapatan diterima di Muka</v>
          </cell>
          <cell r="K38" t="str">
            <v>BCA</v>
          </cell>
        </row>
        <row r="39">
          <cell r="D39" t="str">
            <v>Utang PPN</v>
          </cell>
          <cell r="K39" t="str">
            <v>BRI</v>
          </cell>
        </row>
        <row r="40">
          <cell r="D40" t="str">
            <v>Utang PPH</v>
          </cell>
          <cell r="K40" t="str">
            <v>Bank Mandiri</v>
          </cell>
        </row>
        <row r="41">
          <cell r="D41" t="str">
            <v>▒ Liabilitas Jangka Panjang</v>
          </cell>
          <cell r="K41" t="str">
            <v>Bank 2</v>
          </cell>
        </row>
        <row r="42">
          <cell r="D42" t="str">
            <v>Utang Bank 1</v>
          </cell>
          <cell r="K42" t="str">
            <v>Bank 3</v>
          </cell>
        </row>
        <row r="43">
          <cell r="D43" t="str">
            <v>Utang Bank 2</v>
          </cell>
          <cell r="K43" t="str">
            <v>Bank 4</v>
          </cell>
        </row>
        <row r="44">
          <cell r="D44" t="str">
            <v>Utang Individu</v>
          </cell>
          <cell r="K44" t="str">
            <v>Piutang Pinjaman Karyawan</v>
          </cell>
        </row>
        <row r="45">
          <cell r="D45" t="str">
            <v>Utang Koperasi Lain</v>
          </cell>
        </row>
        <row r="46">
          <cell r="D46" t="str">
            <v>Utang Lembaga Keuangan Lain</v>
          </cell>
        </row>
        <row r="47">
          <cell r="D47" t="str">
            <v>▒ Total Liabilitas</v>
          </cell>
        </row>
        <row r="48">
          <cell r="D48" t="str">
            <v>▒ Aset Neto</v>
          </cell>
        </row>
        <row r="49">
          <cell r="D49" t="str">
            <v>Tanpa Pembatasan</v>
          </cell>
        </row>
        <row r="50">
          <cell r="D50" t="str">
            <v>Pembatasan</v>
          </cell>
        </row>
        <row r="51">
          <cell r="D51" t="str">
            <v>▒ Total Aset Neto</v>
          </cell>
        </row>
        <row r="52">
          <cell r="D52" t="str">
            <v>▒ TOTAL LIABILITAS DAN ASET NETO</v>
          </cell>
        </row>
        <row r="53">
          <cell r="D53" t="str">
            <v>▒ LABA RUGI</v>
          </cell>
        </row>
        <row r="54">
          <cell r="D54" t="str">
            <v>▒ PENDAPATAN</v>
          </cell>
        </row>
        <row r="55">
          <cell r="D55" t="str">
            <v>Donasi/Zakat/Sumbangan</v>
          </cell>
        </row>
        <row r="56">
          <cell r="D56" t="str">
            <v>Sumbangan Anggota</v>
          </cell>
        </row>
        <row r="57">
          <cell r="D57" t="str">
            <v>Sumbangan Lain-Lain</v>
          </cell>
        </row>
        <row r="58">
          <cell r="D58" t="str">
            <v>Infaq dan Shodaqoh</v>
          </cell>
        </row>
        <row r="59">
          <cell r="D59" t="str">
            <v>Zakat</v>
          </cell>
        </row>
        <row r="60">
          <cell r="D60" t="str">
            <v>Donasi Publik</v>
          </cell>
        </row>
        <row r="61">
          <cell r="D61" t="str">
            <v>Donasi Swasta</v>
          </cell>
        </row>
        <row r="62">
          <cell r="D62" t="str">
            <v>Donasi Pemerintah</v>
          </cell>
        </row>
        <row r="63">
          <cell r="D63" t="str">
            <v>Sumbangan Yayasan</v>
          </cell>
        </row>
        <row r="64">
          <cell r="D64" t="str">
            <v>Donasi Online</v>
          </cell>
        </row>
        <row r="65">
          <cell r="D65" t="str">
            <v>Donasi Khusus</v>
          </cell>
        </row>
        <row r="66">
          <cell r="D66" t="str">
            <v>Hibah</v>
          </cell>
        </row>
        <row r="67">
          <cell r="D67" t="str">
            <v>Pendapatan Sewa Tempat</v>
          </cell>
        </row>
        <row r="68">
          <cell r="D68" t="str">
            <v>Pendapatan Bagi Hasil</v>
          </cell>
        </row>
        <row r="69">
          <cell r="D69" t="str">
            <v>Pendapatan Bunga</v>
          </cell>
        </row>
        <row r="70">
          <cell r="D70" t="str">
            <v>Pendapatan Lain-Lain 4</v>
          </cell>
        </row>
        <row r="71">
          <cell r="D71" t="str">
            <v>Pendapatan Lain-Lain 5</v>
          </cell>
        </row>
        <row r="72">
          <cell r="D72" t="str">
            <v>Pendapatan Lain-Lain 6</v>
          </cell>
        </row>
        <row r="73">
          <cell r="D73" t="str">
            <v>Pendapatan Lain-Lain 7</v>
          </cell>
        </row>
        <row r="74">
          <cell r="D74" t="str">
            <v>Pendapatan Lain-Lain 8</v>
          </cell>
        </row>
        <row r="75">
          <cell r="D75" t="str">
            <v>Pendapatan Lain-Lain 9</v>
          </cell>
        </row>
        <row r="76">
          <cell r="D76" t="str">
            <v>Pendapatan Lain-Lain 10</v>
          </cell>
        </row>
        <row r="77">
          <cell r="D77" t="str">
            <v>Pendapatan Lain-Lain 11</v>
          </cell>
        </row>
        <row r="78">
          <cell r="D78" t="str">
            <v>Pendapatan Lain-Lain 12</v>
          </cell>
        </row>
        <row r="79">
          <cell r="D79" t="str">
            <v>Pendapatan Lain-Lain 13</v>
          </cell>
        </row>
        <row r="80">
          <cell r="D80" t="str">
            <v>▒ Total Pendapatan</v>
          </cell>
        </row>
        <row r="81">
          <cell r="D81" t="str">
            <v>▒ BEBAN</v>
          </cell>
        </row>
        <row r="82">
          <cell r="D82" t="str">
            <v>Beban Gaji Karyawan</v>
          </cell>
        </row>
        <row r="83">
          <cell r="D83" t="str">
            <v>Beban Tunjangan dan Komisi Karyawan</v>
          </cell>
        </row>
        <row r="84">
          <cell r="D84" t="str">
            <v>Beban Ustad</v>
          </cell>
        </row>
        <row r="85">
          <cell r="D85" t="str">
            <v>Beban Perlengkapan</v>
          </cell>
        </row>
        <row r="86">
          <cell r="D86" t="str">
            <v>Beban Asuransi</v>
          </cell>
        </row>
        <row r="87">
          <cell r="D87" t="str">
            <v>Beban Audit</v>
          </cell>
        </row>
        <row r="88">
          <cell r="D88" t="str">
            <v>Beban Pajak</v>
          </cell>
        </row>
        <row r="89">
          <cell r="D89" t="str">
            <v>Beban Keuangan Lain-Lain</v>
          </cell>
        </row>
        <row r="90">
          <cell r="D90" t="str">
            <v>Beban Rapat</v>
          </cell>
        </row>
        <row r="91">
          <cell r="D91" t="str">
            <v>Beban Perjalanan Dinas</v>
          </cell>
        </row>
        <row r="92">
          <cell r="D92" t="str">
            <v>Beban Pelatihan</v>
          </cell>
        </row>
        <row r="93">
          <cell r="D93" t="str">
            <v>Beban Honor Pengurus</v>
          </cell>
        </row>
        <row r="94">
          <cell r="D94" t="str">
            <v>Beban Hadiah</v>
          </cell>
        </row>
        <row r="95">
          <cell r="D95" t="str">
            <v>Beban Organisasi Lain-Lain</v>
          </cell>
        </row>
        <row r="96">
          <cell r="D96" t="str">
            <v>Beban Transportasi</v>
          </cell>
        </row>
        <row r="97">
          <cell r="D97" t="str">
            <v>Beban Pemasaran</v>
          </cell>
        </row>
        <row r="98">
          <cell r="D98" t="str">
            <v>Beban Konsumsi</v>
          </cell>
        </row>
        <row r="99">
          <cell r="D99" t="str">
            <v>Beban Karyawan Lain-Lain</v>
          </cell>
        </row>
        <row r="100">
          <cell r="D100" t="str">
            <v>Beban ATK</v>
          </cell>
        </row>
        <row r="101">
          <cell r="D101" t="str">
            <v>Beban Listrik, Telepon dan Air</v>
          </cell>
        </row>
        <row r="102">
          <cell r="D102" t="str">
            <v>Beban Internet</v>
          </cell>
        </row>
        <row r="103">
          <cell r="D103" t="str">
            <v>Beban Ongkos Kirim</v>
          </cell>
        </row>
        <row r="104">
          <cell r="D104" t="str">
            <v>Beban Perbaikan dan Pemeliharaan</v>
          </cell>
        </row>
        <row r="105">
          <cell r="D105" t="str">
            <v>Beban Operasional Lain-Lain</v>
          </cell>
        </row>
        <row r="106">
          <cell r="D106" t="str">
            <v>Beban Penyusutan Piutang Tak Tertagih</v>
          </cell>
        </row>
        <row r="116">
          <cell r="D116" t="str">
            <v>Beban Sewa</v>
          </cell>
        </row>
        <row r="117">
          <cell r="D117" t="str">
            <v>Beban Kerugian Penjualan Aset</v>
          </cell>
        </row>
        <row r="118">
          <cell r="D118" t="str">
            <v>Beban Penyusutan Inventaris Kantor</v>
          </cell>
        </row>
        <row r="119">
          <cell r="D119" t="str">
            <v>Beban Penyusutan Inventaris Kendaraan</v>
          </cell>
        </row>
        <row r="120">
          <cell r="D120" t="str">
            <v>Beban Penyusutan Inventaris Elektronik</v>
          </cell>
        </row>
        <row r="121">
          <cell r="D121" t="str">
            <v>Beban Penyusutan Inventaris Tanah dan Bangunan</v>
          </cell>
        </row>
        <row r="122">
          <cell r="D122" t="str">
            <v>▒ Total Beban</v>
          </cell>
        </row>
        <row r="123">
          <cell r="D123" t="str">
            <v>▒ SURPLUS (DEFISIT)</v>
          </cell>
        </row>
        <row r="132">
          <cell r="K132" t="str">
            <v>Bank Daerah</v>
          </cell>
        </row>
        <row r="133">
          <cell r="K133" t="str">
            <v>Kas</v>
          </cell>
        </row>
        <row r="134">
          <cell r="K134" t="str">
            <v>BCA</v>
          </cell>
        </row>
        <row r="135">
          <cell r="K135" t="str">
            <v>BRI</v>
          </cell>
        </row>
        <row r="136">
          <cell r="K136" t="str">
            <v>Bank Mandiri</v>
          </cell>
        </row>
        <row r="137">
          <cell r="K137" t="str">
            <v>Bank 2</v>
          </cell>
        </row>
        <row r="138">
          <cell r="K138" t="str">
            <v>Bank 3</v>
          </cell>
        </row>
        <row r="139">
          <cell r="K139" t="str">
            <v>Bank 4</v>
          </cell>
        </row>
        <row r="140">
          <cell r="K140" t="str">
            <v>Piutang Pinjaman</v>
          </cell>
        </row>
        <row r="141">
          <cell r="K141" t="str">
            <v>Piutang SPP</v>
          </cell>
        </row>
        <row r="142">
          <cell r="K142" t="str">
            <v>Piutang Pinjaman Karyawan</v>
          </cell>
        </row>
        <row r="143">
          <cell r="K143" t="str">
            <v>Piutang Usaha</v>
          </cell>
        </row>
        <row r="144">
          <cell r="K144" t="str">
            <v>Piutang Donasi/Sumbangan</v>
          </cell>
        </row>
        <row r="145">
          <cell r="K145" t="str">
            <v>Utang Usaha</v>
          </cell>
        </row>
        <row r="146">
          <cell r="K146" t="str">
            <v>Utang Usaha Lain-Lain</v>
          </cell>
        </row>
        <row r="149">
          <cell r="K149" t="str">
            <v>Tanpa Pembatasan</v>
          </cell>
        </row>
        <row r="150">
          <cell r="K150" t="str">
            <v>Pembatasan</v>
          </cell>
        </row>
        <row r="153">
          <cell r="K153" t="str">
            <v>Bank Daerah</v>
          </cell>
        </row>
        <row r="154">
          <cell r="K154" t="str">
            <v>Kas</v>
          </cell>
        </row>
        <row r="155">
          <cell r="K155" t="str">
            <v>BCA</v>
          </cell>
        </row>
        <row r="156">
          <cell r="K156" t="str">
            <v>BRI</v>
          </cell>
        </row>
        <row r="157">
          <cell r="K157" t="str">
            <v>Bank Mandiri</v>
          </cell>
        </row>
        <row r="158">
          <cell r="K158" t="str">
            <v>Bank 2</v>
          </cell>
        </row>
        <row r="159">
          <cell r="K159" t="str">
            <v>Bank 3</v>
          </cell>
        </row>
        <row r="160">
          <cell r="K160" t="str">
            <v>Bank 4</v>
          </cell>
        </row>
        <row r="161">
          <cell r="K161" t="str">
            <v>Hibah</v>
          </cell>
        </row>
      </sheetData>
      <sheetData sheetId="3" refreshError="1">
        <row r="8">
          <cell r="C8" t="str">
            <v>Pengeluaran dibayar di Muka</v>
          </cell>
        </row>
        <row r="9">
          <cell r="C9" t="str">
            <v>Pendapatan diterima di Muka</v>
          </cell>
        </row>
      </sheetData>
      <sheetData sheetId="4" refreshError="1">
        <row r="7">
          <cell r="D7" t="str">
            <v>Renovasi Masjid</v>
          </cell>
        </row>
        <row r="8">
          <cell r="D8" t="str">
            <v>Pelatihan Baca Quran</v>
          </cell>
        </row>
        <row r="9">
          <cell r="D9" t="str">
            <v xml:space="preserve">Penbangunan Sekolah Santri </v>
          </cell>
        </row>
        <row r="10">
          <cell r="D10" t="str">
            <v>Tabliq Akbar</v>
          </cell>
        </row>
      </sheetData>
      <sheetData sheetId="5" refreshError="1"/>
      <sheetData sheetId="6" refreshError="1"/>
      <sheetData sheetId="7" refreshError="1">
        <row r="5">
          <cell r="H5">
            <v>2</v>
          </cell>
          <cell r="J5">
            <v>4</v>
          </cell>
        </row>
      </sheetData>
      <sheetData sheetId="8" refreshError="1"/>
      <sheetData sheetId="9" refreshError="1">
        <row r="5">
          <cell r="F5">
            <v>0</v>
          </cell>
          <cell r="G5">
            <v>3</v>
          </cell>
        </row>
      </sheetData>
      <sheetData sheetId="10" refreshError="1">
        <row r="5">
          <cell r="G5">
            <v>7</v>
          </cell>
        </row>
      </sheetData>
      <sheetData sheetId="11" refreshError="1">
        <row r="5">
          <cell r="D5">
            <v>8</v>
          </cell>
          <cell r="E5">
            <v>9</v>
          </cell>
        </row>
      </sheetData>
      <sheetData sheetId="12" refreshError="1">
        <row r="5">
          <cell r="F5">
            <v>10</v>
          </cell>
        </row>
      </sheetData>
      <sheetData sheetId="13" refreshError="1">
        <row r="7">
          <cell r="C7" t="str">
            <v>KU001</v>
          </cell>
        </row>
        <row r="8">
          <cell r="C8" t="str">
            <v>KU002</v>
          </cell>
        </row>
        <row r="9">
          <cell r="C9" t="str">
            <v>KU003</v>
          </cell>
        </row>
        <row r="10">
          <cell r="C10" t="str">
            <v>KU004</v>
          </cell>
        </row>
        <row r="11">
          <cell r="C11" t="str">
            <v>KU005</v>
          </cell>
        </row>
        <row r="12">
          <cell r="C12" t="str">
            <v>KU006</v>
          </cell>
        </row>
        <row r="13">
          <cell r="C13" t="str">
            <v>KU007</v>
          </cell>
        </row>
        <row r="14">
          <cell r="C14" t="str">
            <v>KU008</v>
          </cell>
        </row>
        <row r="15">
          <cell r="C15" t="str">
            <v>KU009</v>
          </cell>
        </row>
        <row r="16">
          <cell r="C16" t="str">
            <v>KU010</v>
          </cell>
        </row>
      </sheetData>
      <sheetData sheetId="14" refreshError="1">
        <row r="9">
          <cell r="AJ9">
            <v>1</v>
          </cell>
          <cell r="AK9" t="str">
            <v>satu</v>
          </cell>
        </row>
        <row r="10">
          <cell r="AJ10">
            <v>2</v>
          </cell>
          <cell r="AK10" t="str">
            <v>dua</v>
          </cell>
        </row>
        <row r="11">
          <cell r="AJ11">
            <v>3</v>
          </cell>
          <cell r="AK11" t="str">
            <v>tiga</v>
          </cell>
        </row>
        <row r="12">
          <cell r="AJ12">
            <v>4</v>
          </cell>
          <cell r="AK12" t="str">
            <v>empat</v>
          </cell>
        </row>
        <row r="13">
          <cell r="AJ13">
            <v>5</v>
          </cell>
          <cell r="AK13" t="str">
            <v>lima</v>
          </cell>
        </row>
        <row r="14">
          <cell r="AJ14">
            <v>6</v>
          </cell>
          <cell r="AK14" t="str">
            <v>enam</v>
          </cell>
        </row>
        <row r="15">
          <cell r="AJ15">
            <v>7</v>
          </cell>
          <cell r="AK15" t="str">
            <v>tujuh</v>
          </cell>
        </row>
        <row r="16">
          <cell r="AJ16">
            <v>8</v>
          </cell>
          <cell r="AK16" t="str">
            <v>delapan</v>
          </cell>
        </row>
        <row r="17">
          <cell r="AJ17">
            <v>9</v>
          </cell>
          <cell r="AK17" t="str">
            <v>sembilan</v>
          </cell>
        </row>
        <row r="18">
          <cell r="AJ18">
            <v>10</v>
          </cell>
          <cell r="AK18" t="str">
            <v>sepuluh</v>
          </cell>
        </row>
        <row r="19">
          <cell r="AJ19">
            <v>11</v>
          </cell>
          <cell r="AK19" t="str">
            <v>sebelas</v>
          </cell>
        </row>
        <row r="20">
          <cell r="AJ20">
            <v>12</v>
          </cell>
          <cell r="AK20" t="str">
            <v>dua belas</v>
          </cell>
        </row>
        <row r="21">
          <cell r="AJ21">
            <v>13</v>
          </cell>
          <cell r="AK21" t="str">
            <v>tiga belas</v>
          </cell>
        </row>
        <row r="22">
          <cell r="AJ22">
            <v>14</v>
          </cell>
          <cell r="AK22" t="str">
            <v>empat belas</v>
          </cell>
        </row>
        <row r="23">
          <cell r="F23">
            <v>0</v>
          </cell>
          <cell r="AJ23">
            <v>15</v>
          </cell>
          <cell r="AK23" t="str">
            <v>lima belas</v>
          </cell>
        </row>
        <row r="24">
          <cell r="AJ24">
            <v>16</v>
          </cell>
          <cell r="AK24" t="str">
            <v>enam belas</v>
          </cell>
        </row>
        <row r="25">
          <cell r="AJ25">
            <v>17</v>
          </cell>
          <cell r="AK25" t="str">
            <v>tujuh belas</v>
          </cell>
        </row>
        <row r="26">
          <cell r="AJ26">
            <v>18</v>
          </cell>
          <cell r="AK26" t="str">
            <v>delapan belas</v>
          </cell>
        </row>
        <row r="27">
          <cell r="AJ27">
            <v>19</v>
          </cell>
          <cell r="AK27" t="str">
            <v>sembilan belas</v>
          </cell>
        </row>
        <row r="28">
          <cell r="AJ28">
            <v>100</v>
          </cell>
          <cell r="AK28" t="str">
            <v>seratus</v>
          </cell>
        </row>
        <row r="29">
          <cell r="AJ29">
            <v>1000</v>
          </cell>
          <cell r="AK29" t="str">
            <v>seribu</v>
          </cell>
        </row>
        <row r="31">
          <cell r="AE31" t="str">
            <v>Rupiah</v>
          </cell>
        </row>
      </sheetData>
      <sheetData sheetId="15" refreshError="1">
        <row r="5">
          <cell r="B5">
            <v>2019</v>
          </cell>
          <cell r="C5">
            <v>2020</v>
          </cell>
        </row>
        <row r="10">
          <cell r="E10" t="str">
            <v>BCA</v>
          </cell>
        </row>
        <row r="11">
          <cell r="E11">
            <v>1</v>
          </cell>
        </row>
        <row r="12">
          <cell r="E12">
            <v>2019</v>
          </cell>
        </row>
      </sheetData>
      <sheetData sheetId="16" refreshError="1"/>
      <sheetData sheetId="17" refreshError="1"/>
      <sheetData sheetId="18" refreshError="1">
        <row r="59">
          <cell r="C59" t="str">
            <v>Pengeluaran dibayar di Muka</v>
          </cell>
        </row>
        <row r="60">
          <cell r="C60" t="str">
            <v>Piutang Pinjaman</v>
          </cell>
        </row>
        <row r="61">
          <cell r="C61" t="str">
            <v>Piutang SPP</v>
          </cell>
        </row>
        <row r="62">
          <cell r="C62" t="str">
            <v>Utang PPN</v>
          </cell>
        </row>
        <row r="63">
          <cell r="C63" t="str">
            <v>Utang PPH</v>
          </cell>
        </row>
        <row r="64">
          <cell r="C64" t="str">
            <v>Piutang Pinjaman Karyawan</v>
          </cell>
        </row>
        <row r="65">
          <cell r="C65" t="str">
            <v>Beban Gaji Karyawan</v>
          </cell>
        </row>
        <row r="66">
          <cell r="C66" t="str">
            <v>Beban Tunjangan dan Komisi Karyawan</v>
          </cell>
        </row>
        <row r="67">
          <cell r="C67" t="str">
            <v>Beban Ustad</v>
          </cell>
        </row>
        <row r="68">
          <cell r="C68" t="str">
            <v>Beban Perlengkapan</v>
          </cell>
        </row>
        <row r="69">
          <cell r="C69" t="str">
            <v>Beban Asuransi</v>
          </cell>
        </row>
        <row r="70">
          <cell r="C70" t="str">
            <v>Beban Audit</v>
          </cell>
        </row>
        <row r="71">
          <cell r="C71" t="str">
            <v>Beban Pajak</v>
          </cell>
        </row>
        <row r="72">
          <cell r="C72" t="str">
            <v>Beban Keuangan Lain-Lain</v>
          </cell>
        </row>
        <row r="73">
          <cell r="C73" t="str">
            <v>Beban Rapat</v>
          </cell>
        </row>
        <row r="74">
          <cell r="C74" t="str">
            <v>Beban Perjalanan Dinas</v>
          </cell>
        </row>
        <row r="75">
          <cell r="C75" t="str">
            <v>Beban Pelatihan</v>
          </cell>
        </row>
        <row r="76">
          <cell r="C76" t="str">
            <v>Beban Honor Pengurus</v>
          </cell>
        </row>
        <row r="77">
          <cell r="C77" t="str">
            <v>Beban Hadiah</v>
          </cell>
        </row>
        <row r="78">
          <cell r="C78" t="str">
            <v>Beban Organisasi Lain-Lain</v>
          </cell>
        </row>
        <row r="79">
          <cell r="C79" t="str">
            <v>Beban Transportasi</v>
          </cell>
        </row>
        <row r="80">
          <cell r="C80" t="str">
            <v>Beban Pemasaran</v>
          </cell>
        </row>
        <row r="81">
          <cell r="C81" t="str">
            <v>Beban Konsumsi</v>
          </cell>
        </row>
        <row r="82">
          <cell r="C82" t="str">
            <v>Beban Karyawan Lain-Lain</v>
          </cell>
        </row>
        <row r="83">
          <cell r="C83" t="str">
            <v>Beban ATK</v>
          </cell>
        </row>
        <row r="84">
          <cell r="C84" t="str">
            <v>Beban Listrik, Telepon dan Air</v>
          </cell>
        </row>
        <row r="85">
          <cell r="C85" t="str">
            <v>Beban Internet</v>
          </cell>
        </row>
        <row r="86">
          <cell r="C86" t="str">
            <v>Beban Ongkos Kirim</v>
          </cell>
        </row>
        <row r="87">
          <cell r="C87" t="str">
            <v>Beban Perbaikan dan Pemeliharaan</v>
          </cell>
        </row>
        <row r="88">
          <cell r="C88" t="str">
            <v>Beban Operasional Lain-Lain</v>
          </cell>
        </row>
        <row r="89">
          <cell r="C89" t="str">
            <v>Beban Penyusutan Piutang Tak Tertagih</v>
          </cell>
        </row>
        <row r="90">
          <cell r="C90" t="str">
            <v/>
          </cell>
        </row>
        <row r="91">
          <cell r="C91" t="str">
            <v/>
          </cell>
        </row>
        <row r="92">
          <cell r="C92" t="str">
            <v/>
          </cell>
        </row>
        <row r="93">
          <cell r="C93" t="str">
            <v/>
          </cell>
        </row>
        <row r="94">
          <cell r="C94" t="str">
            <v/>
          </cell>
        </row>
        <row r="95">
          <cell r="C95" t="str">
            <v/>
          </cell>
        </row>
        <row r="96">
          <cell r="C96" t="str">
            <v/>
          </cell>
        </row>
        <row r="97">
          <cell r="C97" t="str">
            <v/>
          </cell>
        </row>
        <row r="98">
          <cell r="C98" t="str">
            <v/>
          </cell>
        </row>
        <row r="99">
          <cell r="C99" t="str">
            <v>Beban Sewa</v>
          </cell>
        </row>
        <row r="100">
          <cell r="C100" t="str">
            <v>Beban Kerugian Penjualan Aset</v>
          </cell>
        </row>
        <row r="101">
          <cell r="C101" t="str">
            <v>Pembelian Aset</v>
          </cell>
        </row>
        <row r="102">
          <cell r="C102" t="str">
            <v>Inventaris Kantor</v>
          </cell>
        </row>
        <row r="103">
          <cell r="C103" t="str">
            <v>Inventaris Kendaraan</v>
          </cell>
        </row>
        <row r="104">
          <cell r="C104" t="str">
            <v>Inventaris Elektronik</v>
          </cell>
        </row>
        <row r="105">
          <cell r="C105" t="str">
            <v>Inventaris Tanah dan Bangunan</v>
          </cell>
        </row>
        <row r="106">
          <cell r="C106" t="str">
            <v>Pengurangan Dana</v>
          </cell>
        </row>
        <row r="107">
          <cell r="C107" t="str">
            <v>Utang Bank 1</v>
          </cell>
        </row>
        <row r="108">
          <cell r="C108" t="str">
            <v>Utang Bank 2</v>
          </cell>
        </row>
        <row r="109">
          <cell r="C109" t="str">
            <v>Utang Individu</v>
          </cell>
        </row>
        <row r="110">
          <cell r="C110" t="str">
            <v>Utang Koperasi Lain</v>
          </cell>
        </row>
        <row r="111">
          <cell r="C111" t="str">
            <v>Utang Lembaga Keuangan Lain</v>
          </cell>
        </row>
        <row r="112">
          <cell r="C112" t="str">
            <v>Utang Usaha</v>
          </cell>
        </row>
        <row r="113">
          <cell r="C113" t="str">
            <v>Utang Usaha Lain-Lain</v>
          </cell>
        </row>
        <row r="114">
          <cell r="C114" t="str">
            <v>Uang Jaminan</v>
          </cell>
        </row>
      </sheetData>
      <sheetData sheetId="19" refreshError="1">
        <row r="83">
          <cell r="D83">
            <v>26738666.666666672</v>
          </cell>
        </row>
      </sheetData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L1020"/>
  <sheetViews>
    <sheetView showGridLines="0" tabSelected="1" topLeftCell="A84" workbookViewId="0">
      <selection activeCell="J713" sqref="J713"/>
    </sheetView>
  </sheetViews>
  <sheetFormatPr baseColWidth="10" defaultColWidth="14.5" defaultRowHeight="15" customHeight="1" x14ac:dyDescent="0.2"/>
  <cols>
    <col min="1" max="1" width="5.6640625" customWidth="1"/>
    <col min="2" max="2" width="25.5" bestFit="1" customWidth="1"/>
    <col min="3" max="3" width="62" customWidth="1"/>
    <col min="4" max="4" width="22.83203125" customWidth="1"/>
    <col min="5" max="5" width="19" customWidth="1"/>
    <col min="6" max="6" width="25.6640625" customWidth="1"/>
    <col min="7" max="7" width="16.5" customWidth="1"/>
    <col min="8" max="8" width="19.5" customWidth="1"/>
    <col min="9" max="9" width="1.83203125" customWidth="1"/>
    <col min="10" max="10" width="58.5" customWidth="1"/>
    <col min="11" max="11" width="30.83203125" customWidth="1"/>
    <col min="12" max="26" width="8" customWidth="1"/>
  </cols>
  <sheetData>
    <row r="1" spans="1:12" ht="19.5" customHeight="1" x14ac:dyDescent="0.2">
      <c r="A1" s="88"/>
      <c r="B1" s="89"/>
      <c r="C1" s="89"/>
      <c r="D1" s="89"/>
      <c r="E1" s="89"/>
      <c r="F1" s="89"/>
      <c r="G1" s="1"/>
      <c r="H1" s="1"/>
      <c r="I1" s="1"/>
      <c r="J1" s="1"/>
      <c r="K1" s="1"/>
      <c r="L1" s="1"/>
    </row>
    <row r="2" spans="1:12" ht="19.5" customHeight="1" x14ac:dyDescent="0.2">
      <c r="A2" s="88"/>
      <c r="B2" s="89"/>
      <c r="C2" s="89"/>
      <c r="D2" s="89"/>
      <c r="E2" s="89"/>
      <c r="F2" s="89"/>
      <c r="G2" s="1"/>
      <c r="H2" s="1"/>
      <c r="I2" s="1"/>
      <c r="J2" s="1"/>
      <c r="K2" s="1"/>
      <c r="L2" s="1"/>
    </row>
    <row r="3" spans="1:12" ht="17.25" customHeight="1" x14ac:dyDescent="0.2">
      <c r="A3" s="2"/>
      <c r="B3" s="2"/>
      <c r="C3" s="2"/>
      <c r="D3" s="2"/>
      <c r="E3" s="2"/>
      <c r="F3" s="2"/>
      <c r="G3" s="1"/>
      <c r="H3" s="1"/>
      <c r="I3" s="1"/>
      <c r="J3" s="1"/>
      <c r="K3" s="1"/>
      <c r="L3" s="1"/>
    </row>
    <row r="4" spans="1:12" ht="17.25" customHeight="1" x14ac:dyDescent="0.2">
      <c r="A4" s="90"/>
      <c r="B4" s="89"/>
      <c r="C4" s="89"/>
      <c r="D4" s="89"/>
      <c r="E4" s="89"/>
      <c r="F4" s="89"/>
      <c r="G4" s="1"/>
      <c r="H4" s="1"/>
      <c r="I4" s="1"/>
      <c r="J4" s="1"/>
      <c r="K4" s="1"/>
      <c r="L4" s="1"/>
    </row>
    <row r="5" spans="1:12" ht="17.25" customHeight="1" x14ac:dyDescent="0.2">
      <c r="A5" s="2"/>
      <c r="B5" s="2"/>
      <c r="C5" s="3"/>
      <c r="D5" s="2"/>
      <c r="E5" s="2"/>
      <c r="F5" s="2"/>
      <c r="G5" s="1"/>
      <c r="H5" s="1"/>
      <c r="I5" s="1"/>
      <c r="J5" s="1"/>
      <c r="K5" s="1"/>
      <c r="L5" s="1"/>
    </row>
    <row r="6" spans="1:12" ht="17.25" customHeight="1" x14ac:dyDescent="0.2">
      <c r="A6" s="2"/>
      <c r="B6" s="2"/>
      <c r="C6" s="2"/>
      <c r="D6" s="2"/>
      <c r="E6" s="2"/>
      <c r="F6" s="2"/>
      <c r="G6" s="1"/>
      <c r="H6" s="1"/>
      <c r="I6" s="1"/>
      <c r="J6" s="1"/>
      <c r="K6" s="1"/>
      <c r="L6" s="1"/>
    </row>
    <row r="7" spans="1:12" ht="15" customHeight="1" x14ac:dyDescent="0.2">
      <c r="A7" s="1"/>
      <c r="B7" s="1"/>
      <c r="C7" s="1"/>
      <c r="D7" s="1"/>
      <c r="E7" s="4"/>
      <c r="F7" s="5"/>
      <c r="G7" s="1"/>
      <c r="H7" s="1"/>
      <c r="I7" s="1"/>
      <c r="J7" s="1"/>
      <c r="K7" s="1"/>
      <c r="L7" s="1"/>
    </row>
    <row r="8" spans="1:12" ht="17.25" customHeight="1" x14ac:dyDescent="0.2">
      <c r="A8" s="6" t="s">
        <v>0</v>
      </c>
      <c r="B8" s="6" t="s">
        <v>1</v>
      </c>
      <c r="C8" s="6" t="s">
        <v>2</v>
      </c>
      <c r="D8" s="6" t="s">
        <v>3</v>
      </c>
      <c r="E8" s="6" t="s">
        <v>4</v>
      </c>
      <c r="F8" s="6" t="s">
        <v>5</v>
      </c>
      <c r="G8" s="1"/>
      <c r="H8" s="1"/>
      <c r="I8" s="1"/>
      <c r="J8" s="1"/>
      <c r="K8" s="1"/>
      <c r="L8" s="1"/>
    </row>
    <row r="9" spans="1:12" ht="17.25" customHeight="1" x14ac:dyDescent="0.2">
      <c r="A9" s="7"/>
      <c r="B9" s="7"/>
      <c r="C9" s="7"/>
      <c r="D9" s="7"/>
      <c r="E9" s="7"/>
      <c r="F9" s="7"/>
      <c r="G9" s="1"/>
      <c r="H9" s="1"/>
      <c r="I9" s="1"/>
      <c r="J9" s="1"/>
      <c r="K9" s="1"/>
      <c r="L9" s="1"/>
    </row>
    <row r="10" spans="1:12" ht="24.75" customHeight="1" x14ac:dyDescent="0.2">
      <c r="A10" s="8">
        <v>1</v>
      </c>
      <c r="B10" s="9" t="s">
        <v>6</v>
      </c>
      <c r="C10" s="10" t="s">
        <v>7</v>
      </c>
      <c r="D10" s="11">
        <v>3000000</v>
      </c>
      <c r="E10" s="12"/>
      <c r="F10" s="11">
        <v>3000000</v>
      </c>
      <c r="G10" s="1"/>
      <c r="H10" s="1"/>
      <c r="I10" s="1"/>
      <c r="J10" s="1"/>
      <c r="K10" s="1"/>
      <c r="L10" s="1"/>
    </row>
    <row r="11" spans="1:12" ht="21" customHeight="1" x14ac:dyDescent="0.2">
      <c r="A11" s="13">
        <v>2</v>
      </c>
      <c r="B11" s="14" t="s">
        <v>8</v>
      </c>
      <c r="C11" s="15" t="s">
        <v>9</v>
      </c>
      <c r="D11" s="16"/>
      <c r="E11" s="16">
        <v>400000</v>
      </c>
      <c r="F11" s="16">
        <f>F10+D11-E11</f>
        <v>2600000</v>
      </c>
      <c r="G11" s="30"/>
      <c r="H11" s="1"/>
      <c r="I11" s="1"/>
      <c r="J11" s="1"/>
      <c r="K11" s="1"/>
      <c r="L11" s="1"/>
    </row>
    <row r="12" spans="1:12" ht="15.75" customHeight="1" x14ac:dyDescent="0.2">
      <c r="A12" s="13">
        <v>3</v>
      </c>
      <c r="B12" s="14" t="s">
        <v>10</v>
      </c>
      <c r="C12" s="15" t="s">
        <v>11</v>
      </c>
      <c r="D12" s="16"/>
      <c r="E12" s="16">
        <v>500000</v>
      </c>
      <c r="F12" s="16">
        <f>F11+D3+E4</f>
        <v>2600000</v>
      </c>
      <c r="G12" s="30"/>
      <c r="H12" s="1"/>
      <c r="I12" s="1"/>
      <c r="J12" s="1"/>
      <c r="K12" s="1"/>
      <c r="L12" s="1"/>
    </row>
    <row r="13" spans="1:12" ht="14.25" customHeight="1" x14ac:dyDescent="0.2">
      <c r="A13" s="13">
        <v>4</v>
      </c>
      <c r="B13" s="14" t="s">
        <v>12</v>
      </c>
      <c r="C13" s="15" t="s">
        <v>13</v>
      </c>
      <c r="D13" s="16"/>
      <c r="E13" s="16">
        <v>450000</v>
      </c>
      <c r="F13" s="16">
        <f>F12-E13</f>
        <v>2150000</v>
      </c>
      <c r="G13" s="30"/>
      <c r="H13" s="1"/>
      <c r="I13" s="1"/>
      <c r="J13" s="1"/>
      <c r="K13" s="1"/>
      <c r="L13" s="1"/>
    </row>
    <row r="14" spans="1:12" ht="19.5" customHeight="1" x14ac:dyDescent="0.2">
      <c r="A14" s="13">
        <v>5</v>
      </c>
      <c r="B14" s="14" t="s">
        <v>14</v>
      </c>
      <c r="C14" s="15" t="s">
        <v>15</v>
      </c>
      <c r="D14" s="16"/>
      <c r="E14" s="16">
        <v>450000</v>
      </c>
      <c r="F14" s="16">
        <f>F13-E14</f>
        <v>1700000</v>
      </c>
      <c r="G14" s="30"/>
      <c r="H14" s="1"/>
      <c r="I14" s="1"/>
      <c r="J14" s="1"/>
      <c r="K14" s="1"/>
      <c r="L14" s="1"/>
    </row>
    <row r="15" spans="1:12" ht="19.5" customHeight="1" x14ac:dyDescent="0.2">
      <c r="A15" s="13">
        <v>6</v>
      </c>
      <c r="B15" s="14" t="s">
        <v>16</v>
      </c>
      <c r="C15" s="17" t="s">
        <v>17</v>
      </c>
      <c r="D15" s="16"/>
      <c r="E15" s="16">
        <v>200000</v>
      </c>
      <c r="F15" s="18">
        <f>F14-E15</f>
        <v>1500000</v>
      </c>
      <c r="G15" s="30"/>
      <c r="H15" s="1"/>
      <c r="I15" s="1"/>
      <c r="J15" s="1"/>
      <c r="K15" s="1"/>
      <c r="L15" s="1"/>
    </row>
    <row r="16" spans="1:12" ht="19.5" customHeight="1" x14ac:dyDescent="0.2">
      <c r="A16" s="13">
        <v>7</v>
      </c>
      <c r="B16" s="14" t="s">
        <v>18</v>
      </c>
      <c r="C16" s="17" t="s">
        <v>19</v>
      </c>
      <c r="D16" s="11">
        <v>2983200</v>
      </c>
      <c r="E16" s="16"/>
      <c r="F16" s="18">
        <f>F15+D16</f>
        <v>4483200</v>
      </c>
      <c r="G16" s="30"/>
      <c r="H16" s="1"/>
      <c r="I16" s="1"/>
      <c r="J16" s="1"/>
      <c r="K16" s="1"/>
      <c r="L16" s="1"/>
    </row>
    <row r="17" spans="1:12" ht="19.5" customHeight="1" x14ac:dyDescent="0.2">
      <c r="A17" s="13">
        <v>8</v>
      </c>
      <c r="B17" s="14" t="s">
        <v>20</v>
      </c>
      <c r="C17" s="17" t="s">
        <v>21</v>
      </c>
      <c r="D17" s="11">
        <v>1200000</v>
      </c>
      <c r="E17" s="16"/>
      <c r="F17" s="18">
        <f>F16+D17</f>
        <v>5683200</v>
      </c>
      <c r="G17" s="30"/>
      <c r="H17" s="1"/>
      <c r="I17" s="1"/>
      <c r="J17" s="1"/>
      <c r="K17" s="1"/>
      <c r="L17" s="1"/>
    </row>
    <row r="18" spans="1:12" ht="15.75" customHeight="1" x14ac:dyDescent="0.2">
      <c r="A18" s="13">
        <v>9</v>
      </c>
      <c r="B18" s="14" t="s">
        <v>22</v>
      </c>
      <c r="C18" s="17" t="s">
        <v>23</v>
      </c>
      <c r="D18" s="11">
        <v>350000</v>
      </c>
      <c r="E18" s="16"/>
      <c r="F18" s="18">
        <f>F17+D18</f>
        <v>6033200</v>
      </c>
      <c r="G18" s="30"/>
      <c r="H18" s="1"/>
      <c r="I18" s="1"/>
      <c r="J18" s="1"/>
      <c r="K18" s="1"/>
      <c r="L18" s="1"/>
    </row>
    <row r="19" spans="1:12" ht="15" customHeight="1" x14ac:dyDescent="0.2">
      <c r="A19" s="13">
        <v>10</v>
      </c>
      <c r="B19" s="14" t="s">
        <v>24</v>
      </c>
      <c r="C19" s="17" t="s">
        <v>25</v>
      </c>
      <c r="D19" s="11"/>
      <c r="E19" s="16">
        <v>260000</v>
      </c>
      <c r="F19" s="18">
        <f>F18-E19</f>
        <v>5773200</v>
      </c>
      <c r="G19" s="30"/>
      <c r="H19" s="1"/>
      <c r="I19" s="1"/>
      <c r="J19" s="1"/>
      <c r="K19" s="1"/>
      <c r="L19" s="1"/>
    </row>
    <row r="20" spans="1:12" ht="15" customHeight="1" x14ac:dyDescent="0.2">
      <c r="A20" s="13">
        <v>11</v>
      </c>
      <c r="B20" s="14" t="s">
        <v>26</v>
      </c>
      <c r="C20" s="17" t="s">
        <v>27</v>
      </c>
      <c r="D20" s="11">
        <v>1000000</v>
      </c>
      <c r="E20" s="16"/>
      <c r="F20" s="18">
        <f>F19+D20</f>
        <v>6773200</v>
      </c>
      <c r="G20" s="30"/>
      <c r="H20" s="1"/>
      <c r="I20" s="1"/>
      <c r="J20" s="1"/>
      <c r="K20" s="1"/>
      <c r="L20" s="1"/>
    </row>
    <row r="21" spans="1:12" ht="15" customHeight="1" x14ac:dyDescent="0.2">
      <c r="A21" s="13">
        <v>12</v>
      </c>
      <c r="B21" s="14" t="s">
        <v>28</v>
      </c>
      <c r="C21" s="17" t="s">
        <v>29</v>
      </c>
      <c r="D21" s="16"/>
      <c r="E21" s="16">
        <v>1370000</v>
      </c>
      <c r="F21" s="18">
        <f>F20-E21</f>
        <v>5403200</v>
      </c>
      <c r="G21" s="30"/>
      <c r="H21" s="1"/>
      <c r="I21" s="1"/>
      <c r="J21" s="1"/>
      <c r="K21" s="1"/>
      <c r="L21" s="1"/>
    </row>
    <row r="22" spans="1:12" ht="15" customHeight="1" x14ac:dyDescent="0.2">
      <c r="A22" s="13">
        <v>13</v>
      </c>
      <c r="B22" s="14" t="s">
        <v>30</v>
      </c>
      <c r="C22" s="17" t="s">
        <v>31</v>
      </c>
      <c r="D22" s="16"/>
      <c r="E22" s="16">
        <v>200000</v>
      </c>
      <c r="F22" s="18">
        <f>F21-E22</f>
        <v>5203200</v>
      </c>
      <c r="G22" s="30"/>
      <c r="H22" s="1"/>
      <c r="I22" s="1"/>
      <c r="J22" s="1"/>
      <c r="K22" s="1"/>
      <c r="L22" s="1"/>
    </row>
    <row r="23" spans="1:12" ht="18" customHeight="1" x14ac:dyDescent="0.2">
      <c r="A23" s="13">
        <v>14</v>
      </c>
      <c r="B23" s="14" t="s">
        <v>32</v>
      </c>
      <c r="C23" s="17" t="s">
        <v>33</v>
      </c>
      <c r="D23" s="11">
        <v>500000</v>
      </c>
      <c r="E23" s="16"/>
      <c r="F23" s="18">
        <f>F22+D23</f>
        <v>5703200</v>
      </c>
      <c r="G23" s="30"/>
      <c r="H23" s="1"/>
      <c r="I23" s="1"/>
      <c r="J23" s="1"/>
      <c r="K23" s="1"/>
      <c r="L23" s="1"/>
    </row>
    <row r="24" spans="1:12" ht="15" customHeight="1" x14ac:dyDescent="0.2">
      <c r="A24" s="13">
        <v>15</v>
      </c>
      <c r="B24" s="14" t="s">
        <v>34</v>
      </c>
      <c r="C24" s="15" t="s">
        <v>35</v>
      </c>
      <c r="D24" s="16"/>
      <c r="E24" s="16">
        <v>450000</v>
      </c>
      <c r="F24" s="18">
        <f>F23-E24</f>
        <v>5253200</v>
      </c>
      <c r="G24" s="30"/>
      <c r="H24" s="1"/>
      <c r="I24" s="1"/>
      <c r="J24" s="1"/>
      <c r="K24" s="1"/>
      <c r="L24" s="1"/>
    </row>
    <row r="25" spans="1:12" ht="15" customHeight="1" x14ac:dyDescent="0.2">
      <c r="A25" s="13">
        <v>16</v>
      </c>
      <c r="B25" s="14" t="s">
        <v>34</v>
      </c>
      <c r="C25" s="17" t="s">
        <v>36</v>
      </c>
      <c r="D25" s="16"/>
      <c r="E25" s="16">
        <v>600000</v>
      </c>
      <c r="F25" s="18">
        <f>F24-E25</f>
        <v>4653200</v>
      </c>
      <c r="G25" s="30"/>
      <c r="H25" s="1"/>
      <c r="I25" s="1"/>
      <c r="J25" s="1"/>
      <c r="K25" s="1"/>
      <c r="L25" s="1"/>
    </row>
    <row r="26" spans="1:12" ht="15" customHeight="1" x14ac:dyDescent="0.2">
      <c r="A26" s="13">
        <v>17</v>
      </c>
      <c r="B26" s="14" t="s">
        <v>34</v>
      </c>
      <c r="C26" s="17" t="s">
        <v>37</v>
      </c>
      <c r="D26" s="11">
        <v>426000</v>
      </c>
      <c r="E26" s="16"/>
      <c r="F26" s="18">
        <f>F25+D26</f>
        <v>5079200</v>
      </c>
      <c r="G26" s="30"/>
      <c r="H26" s="1"/>
      <c r="I26" s="1"/>
      <c r="J26" s="1"/>
      <c r="K26" s="1"/>
      <c r="L26" s="1"/>
    </row>
    <row r="27" spans="1:12" ht="15" customHeight="1" x14ac:dyDescent="0.2">
      <c r="A27" s="13">
        <v>18</v>
      </c>
      <c r="B27" s="14" t="s">
        <v>38</v>
      </c>
      <c r="C27" s="17" t="s">
        <v>39</v>
      </c>
      <c r="D27" s="11">
        <v>500000</v>
      </c>
      <c r="E27" s="16"/>
      <c r="F27" s="18">
        <f>F26+D27</f>
        <v>5579200</v>
      </c>
      <c r="G27" s="30"/>
      <c r="H27" s="1"/>
      <c r="I27" s="1"/>
      <c r="J27" s="1"/>
      <c r="K27" s="1"/>
      <c r="L27" s="1"/>
    </row>
    <row r="28" spans="1:12" ht="15" customHeight="1" x14ac:dyDescent="0.2">
      <c r="A28" s="13">
        <v>19</v>
      </c>
      <c r="B28" s="14" t="s">
        <v>40</v>
      </c>
      <c r="C28" s="17" t="s">
        <v>41</v>
      </c>
      <c r="D28" s="16"/>
      <c r="E28" s="16">
        <v>400000</v>
      </c>
      <c r="F28" s="18">
        <f>F27-E28</f>
        <v>5179200</v>
      </c>
      <c r="G28" s="30"/>
      <c r="H28" s="1"/>
      <c r="I28" s="1"/>
      <c r="J28" s="1"/>
      <c r="K28" s="1"/>
      <c r="L28" s="1"/>
    </row>
    <row r="29" spans="1:12" ht="15" customHeight="1" x14ac:dyDescent="0.2">
      <c r="A29" s="13">
        <v>20</v>
      </c>
      <c r="B29" s="14" t="s">
        <v>42</v>
      </c>
      <c r="C29" s="17" t="s">
        <v>43</v>
      </c>
      <c r="D29" s="16"/>
      <c r="E29" s="16">
        <v>1200000</v>
      </c>
      <c r="F29" s="18">
        <f t="shared" ref="F29:F36" si="0">F28-E29</f>
        <v>3979200</v>
      </c>
      <c r="G29" s="30"/>
      <c r="H29" s="1"/>
      <c r="I29" s="1"/>
      <c r="J29" s="1"/>
      <c r="K29" s="1"/>
      <c r="L29" s="1"/>
    </row>
    <row r="30" spans="1:12" ht="15" customHeight="1" x14ac:dyDescent="0.2">
      <c r="A30" s="13">
        <v>21</v>
      </c>
      <c r="B30" s="14" t="s">
        <v>42</v>
      </c>
      <c r="C30" s="17" t="s">
        <v>44</v>
      </c>
      <c r="D30" s="16"/>
      <c r="E30" s="16">
        <v>350000</v>
      </c>
      <c r="F30" s="18">
        <f t="shared" si="0"/>
        <v>3629200</v>
      </c>
      <c r="G30" s="30"/>
      <c r="H30" s="1"/>
      <c r="I30" s="1"/>
      <c r="J30" s="1"/>
      <c r="K30" s="1"/>
      <c r="L30" s="1"/>
    </row>
    <row r="31" spans="1:12" ht="15" customHeight="1" x14ac:dyDescent="0.2">
      <c r="A31" s="13">
        <v>22</v>
      </c>
      <c r="B31" s="14" t="s">
        <v>42</v>
      </c>
      <c r="C31" s="17" t="s">
        <v>41</v>
      </c>
      <c r="D31" s="16"/>
      <c r="E31" s="16">
        <v>400000</v>
      </c>
      <c r="F31" s="18">
        <f t="shared" si="0"/>
        <v>3229200</v>
      </c>
      <c r="G31" s="30"/>
      <c r="H31" s="1"/>
      <c r="I31" s="1"/>
      <c r="J31" s="1"/>
      <c r="K31" s="1"/>
      <c r="L31" s="1"/>
    </row>
    <row r="32" spans="1:12" ht="15" customHeight="1" x14ac:dyDescent="0.2">
      <c r="A32" s="13">
        <v>23</v>
      </c>
      <c r="B32" s="14" t="s">
        <v>45</v>
      </c>
      <c r="C32" s="17" t="s">
        <v>41</v>
      </c>
      <c r="D32" s="16"/>
      <c r="E32" s="16">
        <v>400000</v>
      </c>
      <c r="F32" s="18">
        <f t="shared" si="0"/>
        <v>2829200</v>
      </c>
      <c r="G32" s="30"/>
      <c r="H32" s="1"/>
      <c r="I32" s="1"/>
      <c r="J32" s="1"/>
      <c r="K32" s="1"/>
      <c r="L32" s="1"/>
    </row>
    <row r="33" spans="1:12" ht="15" customHeight="1" x14ac:dyDescent="0.2">
      <c r="A33" s="13">
        <v>24</v>
      </c>
      <c r="B33" s="14" t="s">
        <v>46</v>
      </c>
      <c r="C33" s="17" t="s">
        <v>41</v>
      </c>
      <c r="D33" s="16"/>
      <c r="E33" s="16">
        <v>400000</v>
      </c>
      <c r="F33" s="18">
        <f t="shared" si="0"/>
        <v>2429200</v>
      </c>
      <c r="G33" s="30"/>
      <c r="H33" s="1"/>
      <c r="I33" s="1"/>
      <c r="J33" s="1"/>
      <c r="K33" s="1"/>
      <c r="L33" s="1"/>
    </row>
    <row r="34" spans="1:12" ht="15" customHeight="1" x14ac:dyDescent="0.2">
      <c r="A34" s="13">
        <v>25</v>
      </c>
      <c r="B34" s="14" t="s">
        <v>47</v>
      </c>
      <c r="C34" s="17" t="s">
        <v>41</v>
      </c>
      <c r="D34" s="16"/>
      <c r="E34" s="16">
        <v>400000</v>
      </c>
      <c r="F34" s="18">
        <f t="shared" si="0"/>
        <v>2029200</v>
      </c>
      <c r="G34" s="30"/>
      <c r="H34" s="1"/>
      <c r="I34" s="1"/>
      <c r="J34" s="1"/>
      <c r="K34" s="1"/>
      <c r="L34" s="1"/>
    </row>
    <row r="35" spans="1:12" ht="15" customHeight="1" x14ac:dyDescent="0.2">
      <c r="A35" s="13">
        <v>26</v>
      </c>
      <c r="B35" s="14" t="s">
        <v>48</v>
      </c>
      <c r="C35" s="17" t="s">
        <v>41</v>
      </c>
      <c r="D35" s="16"/>
      <c r="E35" s="16">
        <v>400000</v>
      </c>
      <c r="F35" s="18">
        <f t="shared" si="0"/>
        <v>1629200</v>
      </c>
      <c r="G35" s="30"/>
      <c r="H35" s="1"/>
      <c r="I35" s="1"/>
      <c r="J35" s="1"/>
      <c r="K35" s="1"/>
      <c r="L35" s="1"/>
    </row>
    <row r="36" spans="1:12" ht="15" customHeight="1" x14ac:dyDescent="0.2">
      <c r="A36" s="13">
        <v>27</v>
      </c>
      <c r="B36" s="14" t="s">
        <v>49</v>
      </c>
      <c r="C36" s="17" t="s">
        <v>50</v>
      </c>
      <c r="D36" s="16"/>
      <c r="E36" s="16">
        <v>1050000</v>
      </c>
      <c r="F36" s="18">
        <f t="shared" si="0"/>
        <v>579200</v>
      </c>
      <c r="G36" s="30"/>
      <c r="H36" s="1"/>
      <c r="I36" s="1"/>
      <c r="J36" s="1"/>
      <c r="K36" s="1"/>
      <c r="L36" s="1"/>
    </row>
    <row r="37" spans="1:12" ht="15" customHeight="1" x14ac:dyDescent="0.2">
      <c r="A37" s="13">
        <v>28</v>
      </c>
      <c r="B37" s="14" t="s">
        <v>51</v>
      </c>
      <c r="C37" s="17" t="s">
        <v>19</v>
      </c>
      <c r="D37" s="11">
        <v>1520000</v>
      </c>
      <c r="E37" s="16"/>
      <c r="F37" s="18">
        <f>F36+D37</f>
        <v>2099200</v>
      </c>
      <c r="G37" s="30"/>
      <c r="H37" s="1"/>
      <c r="I37" s="1"/>
      <c r="J37" s="1"/>
      <c r="K37" s="1"/>
      <c r="L37" s="1"/>
    </row>
    <row r="38" spans="1:12" ht="15" customHeight="1" x14ac:dyDescent="0.2">
      <c r="A38" s="13">
        <v>29</v>
      </c>
      <c r="B38" s="14" t="s">
        <v>51</v>
      </c>
      <c r="C38" s="17" t="s">
        <v>52</v>
      </c>
      <c r="D38" s="16"/>
      <c r="E38" s="16">
        <v>400000</v>
      </c>
      <c r="F38" s="18">
        <f>F37-E38</f>
        <v>1699200</v>
      </c>
      <c r="G38" s="30"/>
      <c r="H38" s="1"/>
      <c r="I38" s="1"/>
      <c r="J38" s="1"/>
      <c r="K38" s="1"/>
      <c r="L38" s="1"/>
    </row>
    <row r="39" spans="1:12" ht="15" customHeight="1" x14ac:dyDescent="0.2">
      <c r="A39" s="13">
        <v>30</v>
      </c>
      <c r="B39" s="14" t="s">
        <v>53</v>
      </c>
      <c r="C39" s="17" t="s">
        <v>52</v>
      </c>
      <c r="D39" s="16"/>
      <c r="E39" s="16">
        <v>400000</v>
      </c>
      <c r="F39" s="18">
        <f>F38-E39</f>
        <v>1299200</v>
      </c>
      <c r="G39" s="30"/>
      <c r="H39" s="1"/>
      <c r="I39" s="1"/>
      <c r="J39" s="1"/>
      <c r="K39" s="1"/>
      <c r="L39" s="1"/>
    </row>
    <row r="40" spans="1:12" ht="15" customHeight="1" x14ac:dyDescent="0.2">
      <c r="A40" s="13">
        <v>31</v>
      </c>
      <c r="B40" s="14" t="s">
        <v>54</v>
      </c>
      <c r="C40" s="17" t="s">
        <v>55</v>
      </c>
      <c r="D40" s="16"/>
      <c r="E40" s="16">
        <v>500000</v>
      </c>
      <c r="F40" s="18">
        <f>F39-E40</f>
        <v>799200</v>
      </c>
      <c r="G40" s="30"/>
      <c r="H40" s="1"/>
      <c r="I40" s="1"/>
      <c r="J40" s="1"/>
      <c r="K40" s="1"/>
      <c r="L40" s="1"/>
    </row>
    <row r="41" spans="1:12" ht="15" customHeight="1" x14ac:dyDescent="0.2">
      <c r="A41" s="13">
        <v>32</v>
      </c>
      <c r="B41" s="14" t="s">
        <v>56</v>
      </c>
      <c r="C41" s="17" t="s">
        <v>57</v>
      </c>
      <c r="D41" s="11">
        <v>6003000</v>
      </c>
      <c r="E41" s="16"/>
      <c r="F41" s="18">
        <f>F40+D41</f>
        <v>6802200</v>
      </c>
      <c r="G41" s="30"/>
      <c r="H41" s="1"/>
      <c r="I41" s="1"/>
      <c r="J41" s="1"/>
      <c r="K41" s="1"/>
      <c r="L41" s="1"/>
    </row>
    <row r="42" spans="1:12" ht="15" customHeight="1" x14ac:dyDescent="0.2">
      <c r="A42" s="13">
        <v>33</v>
      </c>
      <c r="B42" s="14" t="s">
        <v>56</v>
      </c>
      <c r="C42" s="17" t="s">
        <v>58</v>
      </c>
      <c r="D42" s="11"/>
      <c r="E42" s="16">
        <v>1000000</v>
      </c>
      <c r="F42" s="18">
        <f>F41-E42</f>
        <v>5802200</v>
      </c>
      <c r="G42" s="30"/>
      <c r="H42" s="1"/>
      <c r="I42" s="1"/>
      <c r="J42" s="1"/>
      <c r="K42" s="1"/>
      <c r="L42" s="1"/>
    </row>
    <row r="43" spans="1:12" ht="15" customHeight="1" x14ac:dyDescent="0.2">
      <c r="A43" s="13">
        <v>34</v>
      </c>
      <c r="B43" s="14" t="s">
        <v>56</v>
      </c>
      <c r="C43" s="17" t="s">
        <v>59</v>
      </c>
      <c r="D43" s="16"/>
      <c r="E43" s="16">
        <v>1000000</v>
      </c>
      <c r="F43" s="18">
        <f>F42-E43</f>
        <v>4802200</v>
      </c>
      <c r="G43" s="30"/>
      <c r="H43" s="1"/>
      <c r="I43" s="1"/>
      <c r="J43" s="1"/>
      <c r="K43" s="1"/>
      <c r="L43" s="1"/>
    </row>
    <row r="44" spans="1:12" ht="15" customHeight="1" x14ac:dyDescent="0.2">
      <c r="A44" s="13">
        <v>35</v>
      </c>
      <c r="B44" s="14" t="s">
        <v>60</v>
      </c>
      <c r="C44" s="17" t="s">
        <v>61</v>
      </c>
      <c r="D44" s="16">
        <v>1016000</v>
      </c>
      <c r="E44" s="16"/>
      <c r="F44" s="18">
        <f>F43+D44</f>
        <v>5818200</v>
      </c>
      <c r="G44" s="30"/>
      <c r="H44" s="1"/>
      <c r="I44" s="1"/>
      <c r="J44" s="1"/>
      <c r="K44" s="1"/>
      <c r="L44" s="1"/>
    </row>
    <row r="45" spans="1:12" ht="15" customHeight="1" x14ac:dyDescent="0.2">
      <c r="A45" s="13">
        <v>36</v>
      </c>
      <c r="B45" s="14" t="s">
        <v>62</v>
      </c>
      <c r="C45" s="17" t="s">
        <v>63</v>
      </c>
      <c r="D45" s="16"/>
      <c r="E45" s="16">
        <v>450000</v>
      </c>
      <c r="F45" s="18">
        <f>F44-E45</f>
        <v>5368200</v>
      </c>
      <c r="G45" s="30"/>
      <c r="H45" s="1"/>
      <c r="I45" s="1"/>
      <c r="J45" s="1"/>
      <c r="K45" s="1"/>
      <c r="L45" s="1"/>
    </row>
    <row r="46" spans="1:12" ht="15" customHeight="1" x14ac:dyDescent="0.2">
      <c r="A46" s="13">
        <v>37</v>
      </c>
      <c r="B46" s="14" t="s">
        <v>64</v>
      </c>
      <c r="C46" s="17" t="s">
        <v>65</v>
      </c>
      <c r="D46" s="16"/>
      <c r="E46" s="16">
        <v>700000</v>
      </c>
      <c r="F46" s="18">
        <f>F45-E46</f>
        <v>4668200</v>
      </c>
      <c r="G46" s="30"/>
      <c r="H46" s="1"/>
      <c r="I46" s="1"/>
      <c r="J46" s="1"/>
      <c r="K46" s="1"/>
      <c r="L46" s="1"/>
    </row>
    <row r="47" spans="1:12" ht="15" customHeight="1" x14ac:dyDescent="0.2">
      <c r="A47" s="13">
        <v>38</v>
      </c>
      <c r="B47" s="14" t="s">
        <v>64</v>
      </c>
      <c r="C47" s="17" t="s">
        <v>66</v>
      </c>
      <c r="D47" s="16"/>
      <c r="E47" s="16">
        <v>100000</v>
      </c>
      <c r="F47" s="18">
        <f>F46-E47</f>
        <v>4568200</v>
      </c>
      <c r="G47" s="30"/>
      <c r="H47" s="1"/>
      <c r="I47" s="1"/>
      <c r="J47" s="1"/>
      <c r="K47" s="1"/>
      <c r="L47" s="1"/>
    </row>
    <row r="48" spans="1:12" ht="15" customHeight="1" x14ac:dyDescent="0.2">
      <c r="A48" s="13">
        <v>39</v>
      </c>
      <c r="B48" s="14" t="s">
        <v>67</v>
      </c>
      <c r="C48" s="17" t="s">
        <v>68</v>
      </c>
      <c r="D48" s="16"/>
      <c r="E48" s="16">
        <v>100000</v>
      </c>
      <c r="F48" s="18">
        <f>F47-E48</f>
        <v>4468200</v>
      </c>
      <c r="G48" s="30"/>
      <c r="H48" s="1"/>
      <c r="I48" s="1"/>
      <c r="J48" s="1"/>
      <c r="K48" s="1"/>
      <c r="L48" s="1"/>
    </row>
    <row r="49" spans="1:12" ht="15" customHeight="1" x14ac:dyDescent="0.2">
      <c r="A49" s="13">
        <v>40</v>
      </c>
      <c r="B49" s="14" t="s">
        <v>69</v>
      </c>
      <c r="C49" s="17" t="s">
        <v>70</v>
      </c>
      <c r="D49" s="16">
        <v>1200000</v>
      </c>
      <c r="E49" s="16"/>
      <c r="F49" s="18">
        <f>F48+D49</f>
        <v>5668200</v>
      </c>
      <c r="G49" s="30"/>
      <c r="H49" s="1"/>
      <c r="I49" s="1"/>
      <c r="J49" s="1"/>
      <c r="K49" s="1"/>
      <c r="L49" s="1"/>
    </row>
    <row r="50" spans="1:12" ht="15" customHeight="1" x14ac:dyDescent="0.2">
      <c r="A50" s="13">
        <v>41</v>
      </c>
      <c r="B50" s="14" t="s">
        <v>71</v>
      </c>
      <c r="C50" s="17" t="s">
        <v>72</v>
      </c>
      <c r="D50" s="16"/>
      <c r="E50" s="16">
        <v>450000</v>
      </c>
      <c r="F50" s="18">
        <f>F49-E50</f>
        <v>5218200</v>
      </c>
      <c r="G50" s="30"/>
      <c r="H50" s="1"/>
      <c r="I50" s="1"/>
      <c r="J50" s="1"/>
      <c r="K50" s="1"/>
      <c r="L50" s="1"/>
    </row>
    <row r="51" spans="1:12" ht="15" customHeight="1" x14ac:dyDescent="0.2">
      <c r="A51" s="13">
        <v>42</v>
      </c>
      <c r="B51" s="14" t="s">
        <v>73</v>
      </c>
      <c r="C51" s="17" t="s">
        <v>74</v>
      </c>
      <c r="D51" s="16"/>
      <c r="E51" s="16">
        <v>2000000</v>
      </c>
      <c r="F51" s="18">
        <f>F50-E51</f>
        <v>3218200</v>
      </c>
      <c r="G51" s="30"/>
      <c r="H51" s="1"/>
      <c r="I51" s="1"/>
      <c r="J51" s="1"/>
      <c r="K51" s="1"/>
      <c r="L51" s="1"/>
    </row>
    <row r="52" spans="1:12" ht="15" customHeight="1" x14ac:dyDescent="0.2">
      <c r="A52" s="13">
        <v>43</v>
      </c>
      <c r="B52" s="14" t="s">
        <v>75</v>
      </c>
      <c r="C52" s="17" t="s">
        <v>76</v>
      </c>
      <c r="D52" s="16">
        <v>1690000</v>
      </c>
      <c r="E52" s="16"/>
      <c r="F52" s="18">
        <f>F51+D52</f>
        <v>4908200</v>
      </c>
      <c r="G52" s="30"/>
      <c r="H52" s="1"/>
      <c r="I52" s="1"/>
      <c r="J52" s="1"/>
      <c r="K52" s="1"/>
      <c r="L52" s="1"/>
    </row>
    <row r="53" spans="1:12" ht="15" customHeight="1" x14ac:dyDescent="0.2">
      <c r="A53" s="13">
        <v>44</v>
      </c>
      <c r="B53" s="14" t="s">
        <v>75</v>
      </c>
      <c r="C53" s="17" t="s">
        <v>19</v>
      </c>
      <c r="D53" s="16">
        <v>960000</v>
      </c>
      <c r="E53" s="16"/>
      <c r="F53" s="18">
        <f>F52+D53</f>
        <v>5868200</v>
      </c>
      <c r="G53" s="30"/>
      <c r="H53" s="1"/>
      <c r="I53" s="1"/>
      <c r="J53" s="1"/>
      <c r="K53" s="1"/>
      <c r="L53" s="1"/>
    </row>
    <row r="54" spans="1:12" ht="15" customHeight="1" x14ac:dyDescent="0.2">
      <c r="A54" s="13">
        <v>45</v>
      </c>
      <c r="B54" s="14" t="s">
        <v>77</v>
      </c>
      <c r="C54" s="17" t="s">
        <v>78</v>
      </c>
      <c r="D54" s="16"/>
      <c r="E54" s="16">
        <v>450000</v>
      </c>
      <c r="F54" s="18">
        <f t="shared" ref="F54:F59" si="1">F53-E54</f>
        <v>5418200</v>
      </c>
      <c r="G54" s="30"/>
      <c r="H54" s="1"/>
      <c r="I54" s="1"/>
      <c r="J54" s="1"/>
      <c r="K54" s="1"/>
      <c r="L54" s="1"/>
    </row>
    <row r="55" spans="1:12" ht="15" customHeight="1" x14ac:dyDescent="0.2">
      <c r="A55" s="13">
        <v>46</v>
      </c>
      <c r="B55" s="14" t="s">
        <v>79</v>
      </c>
      <c r="C55" s="17" t="s">
        <v>80</v>
      </c>
      <c r="D55" s="16"/>
      <c r="E55" s="16">
        <v>1000000</v>
      </c>
      <c r="F55" s="18">
        <f t="shared" si="1"/>
        <v>4418200</v>
      </c>
      <c r="G55" s="30"/>
      <c r="H55" s="1"/>
      <c r="I55" s="1"/>
      <c r="J55" s="1"/>
      <c r="K55" s="1"/>
      <c r="L55" s="1"/>
    </row>
    <row r="56" spans="1:12" ht="15" customHeight="1" x14ac:dyDescent="0.2">
      <c r="A56" s="13">
        <v>47</v>
      </c>
      <c r="B56" s="14" t="s">
        <v>81</v>
      </c>
      <c r="C56" s="17" t="s">
        <v>82</v>
      </c>
      <c r="D56" s="16"/>
      <c r="E56" s="16">
        <v>250000</v>
      </c>
      <c r="F56" s="18">
        <f t="shared" si="1"/>
        <v>4168200</v>
      </c>
      <c r="G56" s="30"/>
      <c r="H56" s="1"/>
      <c r="I56" s="1"/>
      <c r="J56" s="1"/>
      <c r="K56" s="1"/>
      <c r="L56" s="1"/>
    </row>
    <row r="57" spans="1:12" ht="15" customHeight="1" x14ac:dyDescent="0.2">
      <c r="A57" s="13">
        <v>48</v>
      </c>
      <c r="B57" s="14" t="s">
        <v>83</v>
      </c>
      <c r="C57" s="17" t="s">
        <v>84</v>
      </c>
      <c r="D57" s="16"/>
      <c r="E57" s="16">
        <v>211310</v>
      </c>
      <c r="F57" s="18">
        <f t="shared" si="1"/>
        <v>3956890</v>
      </c>
      <c r="G57" s="30"/>
      <c r="H57" s="1"/>
      <c r="I57" s="1"/>
      <c r="J57" s="1"/>
      <c r="K57" s="1"/>
      <c r="L57" s="1"/>
    </row>
    <row r="58" spans="1:12" ht="15" customHeight="1" x14ac:dyDescent="0.2">
      <c r="A58" s="13">
        <v>49</v>
      </c>
      <c r="B58" s="14" t="s">
        <v>85</v>
      </c>
      <c r="C58" s="17" t="s">
        <v>86</v>
      </c>
      <c r="D58" s="16"/>
      <c r="E58" s="16">
        <v>1000000</v>
      </c>
      <c r="F58" s="18">
        <f t="shared" si="1"/>
        <v>2956890</v>
      </c>
      <c r="G58" s="30"/>
      <c r="H58" s="1"/>
      <c r="I58" s="1"/>
      <c r="J58" s="1"/>
      <c r="K58" s="1"/>
      <c r="L58" s="1"/>
    </row>
    <row r="59" spans="1:12" ht="15" customHeight="1" x14ac:dyDescent="0.2">
      <c r="A59" s="13">
        <v>50</v>
      </c>
      <c r="B59" s="14" t="s">
        <v>85</v>
      </c>
      <c r="C59" s="17" t="s">
        <v>87</v>
      </c>
      <c r="D59" s="16"/>
      <c r="E59" s="16">
        <v>500000</v>
      </c>
      <c r="F59" s="18">
        <f t="shared" si="1"/>
        <v>2456890</v>
      </c>
      <c r="G59" s="30"/>
      <c r="H59" s="1"/>
      <c r="I59" s="1"/>
      <c r="J59" s="1"/>
      <c r="K59" s="1"/>
      <c r="L59" s="1"/>
    </row>
    <row r="60" spans="1:12" ht="15" customHeight="1" x14ac:dyDescent="0.2">
      <c r="A60" s="13">
        <v>51</v>
      </c>
      <c r="B60" s="14" t="s">
        <v>85</v>
      </c>
      <c r="C60" s="17" t="s">
        <v>88</v>
      </c>
      <c r="D60" s="16">
        <v>2000000</v>
      </c>
      <c r="E60" s="16"/>
      <c r="F60" s="18">
        <f>F59+D60</f>
        <v>4456890</v>
      </c>
      <c r="G60" s="30"/>
      <c r="H60" s="1"/>
      <c r="I60" s="1"/>
      <c r="J60" s="1"/>
      <c r="K60" s="1"/>
      <c r="L60" s="1"/>
    </row>
    <row r="61" spans="1:12" ht="15" customHeight="1" x14ac:dyDescent="0.2">
      <c r="A61" s="13">
        <v>52</v>
      </c>
      <c r="B61" s="14" t="s">
        <v>89</v>
      </c>
      <c r="C61" s="17" t="s">
        <v>90</v>
      </c>
      <c r="D61" s="16"/>
      <c r="E61" s="16">
        <v>1500000</v>
      </c>
      <c r="F61" s="18">
        <f>F60-E61</f>
        <v>2956890</v>
      </c>
      <c r="G61" s="30"/>
      <c r="H61" s="1"/>
      <c r="I61" s="1"/>
      <c r="J61" s="1"/>
      <c r="K61" s="1"/>
      <c r="L61" s="1"/>
    </row>
    <row r="62" spans="1:12" ht="15" customHeight="1" x14ac:dyDescent="0.2">
      <c r="A62" s="13">
        <v>53</v>
      </c>
      <c r="B62" s="14" t="s">
        <v>89</v>
      </c>
      <c r="C62" s="17" t="s">
        <v>43</v>
      </c>
      <c r="D62" s="16"/>
      <c r="E62" s="16">
        <v>1200000</v>
      </c>
      <c r="F62" s="18">
        <f>F61-E62</f>
        <v>1756890</v>
      </c>
      <c r="G62" s="30"/>
      <c r="H62" s="1"/>
      <c r="I62" s="1"/>
      <c r="J62" s="1"/>
      <c r="K62" s="1"/>
      <c r="L62" s="1"/>
    </row>
    <row r="63" spans="1:12" ht="15" customHeight="1" x14ac:dyDescent="0.2">
      <c r="A63" s="19">
        <v>54</v>
      </c>
      <c r="B63" s="14" t="s">
        <v>91</v>
      </c>
      <c r="C63" s="20" t="s">
        <v>92</v>
      </c>
      <c r="D63" s="16"/>
      <c r="E63" s="16">
        <v>150000</v>
      </c>
      <c r="F63" s="18">
        <f>F62-E63</f>
        <v>1606890</v>
      </c>
      <c r="G63" s="30"/>
      <c r="H63" s="1"/>
      <c r="I63" s="1"/>
      <c r="J63" s="1"/>
      <c r="K63" s="1"/>
      <c r="L63" s="1"/>
    </row>
    <row r="64" spans="1:12" ht="15" customHeight="1" x14ac:dyDescent="0.2">
      <c r="A64" s="19">
        <v>55</v>
      </c>
      <c r="B64" s="14" t="s">
        <v>93</v>
      </c>
      <c r="C64" s="20" t="s">
        <v>94</v>
      </c>
      <c r="D64" s="21"/>
      <c r="E64" s="16">
        <v>450000</v>
      </c>
      <c r="F64" s="18">
        <f>F63-E64</f>
        <v>1156890</v>
      </c>
      <c r="G64" s="30"/>
      <c r="H64" s="1"/>
      <c r="I64" s="1"/>
      <c r="J64" s="1"/>
      <c r="K64" s="1"/>
      <c r="L64" s="1"/>
    </row>
    <row r="65" spans="1:12" ht="15" customHeight="1" x14ac:dyDescent="0.2">
      <c r="A65" s="13">
        <v>56</v>
      </c>
      <c r="B65" s="14" t="s">
        <v>95</v>
      </c>
      <c r="C65" s="17" t="s">
        <v>96</v>
      </c>
      <c r="D65" s="16"/>
      <c r="E65" s="16">
        <v>450000</v>
      </c>
      <c r="F65" s="18">
        <f>F64-E65</f>
        <v>706890</v>
      </c>
      <c r="G65" s="30"/>
      <c r="H65" s="1"/>
      <c r="I65" s="1"/>
      <c r="J65" s="1"/>
      <c r="K65" s="1"/>
      <c r="L65" s="1"/>
    </row>
    <row r="66" spans="1:12" ht="15" customHeight="1" x14ac:dyDescent="0.2">
      <c r="A66" s="13">
        <v>57</v>
      </c>
      <c r="B66" s="14" t="s">
        <v>97</v>
      </c>
      <c r="C66" s="17" t="s">
        <v>19</v>
      </c>
      <c r="D66" s="16">
        <v>1900000</v>
      </c>
      <c r="E66" s="16"/>
      <c r="F66" s="18">
        <f t="shared" ref="F66:F71" si="2">F65+D66</f>
        <v>2606890</v>
      </c>
      <c r="G66" s="30"/>
      <c r="H66" s="1"/>
      <c r="I66" s="1"/>
      <c r="J66" s="1"/>
      <c r="K66" s="1"/>
      <c r="L66" s="1"/>
    </row>
    <row r="67" spans="1:12" ht="15" customHeight="1" x14ac:dyDescent="0.2">
      <c r="A67" s="13">
        <v>58</v>
      </c>
      <c r="B67" s="14" t="s">
        <v>98</v>
      </c>
      <c r="C67" s="17" t="s">
        <v>99</v>
      </c>
      <c r="D67" s="16">
        <v>300000</v>
      </c>
      <c r="E67" s="16"/>
      <c r="F67" s="18">
        <f t="shared" si="2"/>
        <v>2906890</v>
      </c>
      <c r="G67" s="30"/>
      <c r="H67" s="1"/>
      <c r="I67" s="1"/>
      <c r="J67" s="1"/>
      <c r="K67" s="1"/>
      <c r="L67" s="1"/>
    </row>
    <row r="68" spans="1:12" ht="15" customHeight="1" x14ac:dyDescent="0.2">
      <c r="A68" s="19">
        <v>59</v>
      </c>
      <c r="B68" s="14" t="s">
        <v>100</v>
      </c>
      <c r="C68" s="17" t="s">
        <v>101</v>
      </c>
      <c r="D68" s="16">
        <v>500000</v>
      </c>
      <c r="E68" s="16"/>
      <c r="F68" s="18">
        <f t="shared" si="2"/>
        <v>3406890</v>
      </c>
      <c r="G68" s="30"/>
      <c r="H68" s="1"/>
      <c r="I68" s="1"/>
      <c r="J68" s="1"/>
      <c r="K68" s="1"/>
      <c r="L68" s="1"/>
    </row>
    <row r="69" spans="1:12" ht="15" customHeight="1" x14ac:dyDescent="0.2">
      <c r="A69" s="19">
        <v>60</v>
      </c>
      <c r="B69" s="14" t="s">
        <v>100</v>
      </c>
      <c r="C69" s="17" t="s">
        <v>102</v>
      </c>
      <c r="D69" s="16">
        <v>500000</v>
      </c>
      <c r="E69" s="16"/>
      <c r="F69" s="18">
        <f t="shared" si="2"/>
        <v>3906890</v>
      </c>
      <c r="G69" s="30"/>
      <c r="H69" s="1"/>
      <c r="I69" s="1"/>
      <c r="J69" s="1"/>
      <c r="K69" s="1"/>
      <c r="L69" s="1"/>
    </row>
    <row r="70" spans="1:12" ht="15" customHeight="1" x14ac:dyDescent="0.2">
      <c r="A70" s="13">
        <v>61</v>
      </c>
      <c r="B70" s="14" t="s">
        <v>100</v>
      </c>
      <c r="C70" s="17" t="s">
        <v>103</v>
      </c>
      <c r="D70" s="16">
        <v>300000</v>
      </c>
      <c r="E70" s="16"/>
      <c r="F70" s="18">
        <f t="shared" si="2"/>
        <v>4206890</v>
      </c>
      <c r="G70" s="30"/>
      <c r="H70" s="1"/>
      <c r="I70" s="1"/>
      <c r="J70" s="1"/>
      <c r="K70" s="1"/>
      <c r="L70" s="1"/>
    </row>
    <row r="71" spans="1:12" ht="15" customHeight="1" x14ac:dyDescent="0.2">
      <c r="A71" s="13">
        <v>62</v>
      </c>
      <c r="B71" s="14" t="s">
        <v>104</v>
      </c>
      <c r="C71" s="17" t="s">
        <v>105</v>
      </c>
      <c r="D71" s="16">
        <v>300000</v>
      </c>
      <c r="E71" s="16"/>
      <c r="F71" s="18">
        <f t="shared" si="2"/>
        <v>4506890</v>
      </c>
      <c r="G71" s="30"/>
      <c r="H71" s="1"/>
      <c r="I71" s="1"/>
      <c r="J71" s="1"/>
      <c r="K71" s="1"/>
      <c r="L71" s="1"/>
    </row>
    <row r="72" spans="1:12" ht="15" customHeight="1" x14ac:dyDescent="0.2">
      <c r="A72" s="13">
        <v>63</v>
      </c>
      <c r="B72" s="14" t="s">
        <v>104</v>
      </c>
      <c r="C72" s="17" t="s">
        <v>106</v>
      </c>
      <c r="D72" s="16"/>
      <c r="E72" s="16">
        <v>1000000</v>
      </c>
      <c r="F72" s="18">
        <f>F71-E72</f>
        <v>3506890</v>
      </c>
      <c r="G72" s="30"/>
      <c r="H72" s="1"/>
      <c r="I72" s="1"/>
      <c r="J72" s="1"/>
      <c r="K72" s="1"/>
      <c r="L72" s="1"/>
    </row>
    <row r="73" spans="1:12" ht="15" customHeight="1" x14ac:dyDescent="0.2">
      <c r="A73" s="19">
        <v>64</v>
      </c>
      <c r="B73" s="14" t="s">
        <v>104</v>
      </c>
      <c r="C73" s="17" t="s">
        <v>107</v>
      </c>
      <c r="D73" s="16"/>
      <c r="E73" s="16">
        <v>300000</v>
      </c>
      <c r="F73" s="18">
        <f>F72-E73</f>
        <v>3206890</v>
      </c>
      <c r="G73" s="30"/>
      <c r="H73" s="1"/>
      <c r="I73" s="1"/>
      <c r="J73" s="1"/>
      <c r="K73" s="1"/>
      <c r="L73" s="1"/>
    </row>
    <row r="74" spans="1:12" ht="15" customHeight="1" x14ac:dyDescent="0.2">
      <c r="A74" s="19">
        <v>65</v>
      </c>
      <c r="B74" s="14" t="s">
        <v>108</v>
      </c>
      <c r="C74" s="17" t="s">
        <v>109</v>
      </c>
      <c r="D74" s="16"/>
      <c r="E74" s="16">
        <v>1000000</v>
      </c>
      <c r="F74" s="18">
        <f>F73-E74</f>
        <v>2206890</v>
      </c>
      <c r="G74" s="30"/>
      <c r="H74" s="1"/>
      <c r="I74" s="1"/>
      <c r="J74" s="1"/>
      <c r="K74" s="1"/>
      <c r="L74" s="1"/>
    </row>
    <row r="75" spans="1:12" ht="15" customHeight="1" x14ac:dyDescent="0.2">
      <c r="A75" s="13">
        <v>66</v>
      </c>
      <c r="B75" s="14" t="s">
        <v>108</v>
      </c>
      <c r="C75" s="17" t="s">
        <v>110</v>
      </c>
      <c r="D75" s="16"/>
      <c r="E75" s="16">
        <v>200000</v>
      </c>
      <c r="F75" s="18">
        <f>F74-E75</f>
        <v>2006890</v>
      </c>
      <c r="G75" s="30"/>
      <c r="H75" s="1"/>
      <c r="I75" s="1"/>
      <c r="J75" s="1"/>
      <c r="K75" s="1"/>
      <c r="L75" s="1"/>
    </row>
    <row r="76" spans="1:12" ht="15" customHeight="1" x14ac:dyDescent="0.2">
      <c r="A76" s="13">
        <v>67</v>
      </c>
      <c r="B76" s="14" t="s">
        <v>108</v>
      </c>
      <c r="C76" s="17" t="s">
        <v>111</v>
      </c>
      <c r="D76" s="16">
        <v>300000</v>
      </c>
      <c r="E76" s="16"/>
      <c r="F76" s="18">
        <f>F75+D76</f>
        <v>2306890</v>
      </c>
      <c r="G76" s="30"/>
      <c r="H76" s="1"/>
      <c r="I76" s="1"/>
      <c r="J76" s="1"/>
      <c r="K76" s="1"/>
      <c r="L76" s="1"/>
    </row>
    <row r="77" spans="1:12" ht="15" customHeight="1" x14ac:dyDescent="0.2">
      <c r="A77" s="13">
        <v>68</v>
      </c>
      <c r="B77" s="14" t="s">
        <v>112</v>
      </c>
      <c r="C77" s="17" t="s">
        <v>113</v>
      </c>
      <c r="D77" s="16"/>
      <c r="E77" s="16">
        <v>450000</v>
      </c>
      <c r="F77" s="18">
        <f>F76-E77</f>
        <v>1856890</v>
      </c>
      <c r="G77" s="30"/>
      <c r="H77" s="1"/>
      <c r="I77" s="1"/>
      <c r="J77" s="1"/>
      <c r="K77" s="1"/>
      <c r="L77" s="1"/>
    </row>
    <row r="78" spans="1:12" ht="15" customHeight="1" x14ac:dyDescent="0.2">
      <c r="A78" s="19">
        <v>69</v>
      </c>
      <c r="B78" s="14" t="s">
        <v>114</v>
      </c>
      <c r="C78" s="20" t="s">
        <v>115</v>
      </c>
      <c r="D78" s="16"/>
      <c r="E78" s="16">
        <v>450000</v>
      </c>
      <c r="F78" s="18">
        <f>F77-E78</f>
        <v>1406890</v>
      </c>
      <c r="G78" s="30"/>
      <c r="H78" s="1"/>
      <c r="I78" s="1"/>
      <c r="J78" s="1"/>
      <c r="K78" s="1"/>
      <c r="L78" s="1"/>
    </row>
    <row r="79" spans="1:12" ht="15" customHeight="1" x14ac:dyDescent="0.2">
      <c r="A79" s="19">
        <v>70</v>
      </c>
      <c r="B79" s="14" t="s">
        <v>116</v>
      </c>
      <c r="C79" s="20" t="s">
        <v>117</v>
      </c>
      <c r="D79" s="21"/>
      <c r="E79" s="16">
        <v>450000</v>
      </c>
      <c r="F79" s="18">
        <f>F78-E79</f>
        <v>956890</v>
      </c>
      <c r="G79" s="30"/>
      <c r="H79" s="1"/>
      <c r="I79" s="1"/>
      <c r="J79" s="1"/>
      <c r="K79" s="1"/>
      <c r="L79" s="1"/>
    </row>
    <row r="80" spans="1:12" ht="15" customHeight="1" x14ac:dyDescent="0.2">
      <c r="A80" s="19">
        <v>71</v>
      </c>
      <c r="B80" s="14" t="s">
        <v>118</v>
      </c>
      <c r="C80" s="20" t="s">
        <v>119</v>
      </c>
      <c r="D80" s="21"/>
      <c r="E80" s="16">
        <v>450000</v>
      </c>
      <c r="F80" s="18">
        <f>F79-E80</f>
        <v>506890</v>
      </c>
      <c r="G80" s="30"/>
      <c r="H80" s="1"/>
      <c r="I80" s="1"/>
      <c r="J80" s="1"/>
      <c r="K80" s="1"/>
      <c r="L80" s="1"/>
    </row>
    <row r="81" spans="1:12" ht="15" customHeight="1" x14ac:dyDescent="0.2">
      <c r="A81" s="19">
        <v>71</v>
      </c>
      <c r="B81" s="14" t="s">
        <v>120</v>
      </c>
      <c r="C81" s="20" t="s">
        <v>121</v>
      </c>
      <c r="D81" s="16">
        <v>100000</v>
      </c>
      <c r="E81" s="16"/>
      <c r="F81" s="18">
        <f>F80+D81</f>
        <v>606890</v>
      </c>
      <c r="G81" s="30"/>
      <c r="H81" s="1"/>
      <c r="I81" s="1"/>
      <c r="J81" s="1"/>
      <c r="K81" s="1"/>
      <c r="L81" s="1"/>
    </row>
    <row r="82" spans="1:12" ht="15" customHeight="1" x14ac:dyDescent="0.2">
      <c r="A82" s="19">
        <v>72</v>
      </c>
      <c r="B82" s="14" t="s">
        <v>120</v>
      </c>
      <c r="C82" s="20" t="s">
        <v>122</v>
      </c>
      <c r="D82" s="16">
        <v>50000</v>
      </c>
      <c r="E82" s="16"/>
      <c r="F82" s="18">
        <f>F81+D82</f>
        <v>656890</v>
      </c>
      <c r="G82" s="30"/>
      <c r="H82" s="1"/>
      <c r="I82" s="1"/>
      <c r="J82" s="1"/>
      <c r="K82" s="1"/>
      <c r="L82" s="1"/>
    </row>
    <row r="83" spans="1:12" ht="15" customHeight="1" x14ac:dyDescent="0.2">
      <c r="A83" s="19">
        <v>73</v>
      </c>
      <c r="B83" s="14" t="s">
        <v>120</v>
      </c>
      <c r="C83" s="20" t="s">
        <v>123</v>
      </c>
      <c r="D83" s="16">
        <v>100000</v>
      </c>
      <c r="E83" s="16"/>
      <c r="F83" s="18">
        <f>F82+D83</f>
        <v>756890</v>
      </c>
      <c r="G83" s="30"/>
      <c r="H83" s="1"/>
      <c r="I83" s="1"/>
      <c r="J83" s="1"/>
      <c r="K83" s="1"/>
      <c r="L83" s="1"/>
    </row>
    <row r="84" spans="1:12" ht="15" customHeight="1" x14ac:dyDescent="0.2">
      <c r="A84" s="19">
        <v>74</v>
      </c>
      <c r="B84" s="14" t="s">
        <v>120</v>
      </c>
      <c r="C84" s="20" t="s">
        <v>124</v>
      </c>
      <c r="D84" s="16">
        <v>100000</v>
      </c>
      <c r="E84" s="16"/>
      <c r="F84" s="18">
        <f>F83+D84</f>
        <v>856890</v>
      </c>
      <c r="G84" s="30"/>
      <c r="H84" s="1"/>
      <c r="I84" s="1"/>
      <c r="J84" s="1"/>
      <c r="K84" s="1"/>
      <c r="L84" s="1"/>
    </row>
    <row r="85" spans="1:12" ht="15" customHeight="1" x14ac:dyDescent="0.2">
      <c r="A85" s="19">
        <v>75</v>
      </c>
      <c r="B85" s="14" t="s">
        <v>125</v>
      </c>
      <c r="C85" s="20" t="s">
        <v>126</v>
      </c>
      <c r="D85" s="16"/>
      <c r="E85" s="16">
        <v>450000</v>
      </c>
      <c r="F85" s="18">
        <f>F84-E85</f>
        <v>406890</v>
      </c>
      <c r="G85" s="30"/>
      <c r="H85" s="1"/>
      <c r="I85" s="1"/>
      <c r="J85" s="1"/>
      <c r="K85" s="1"/>
      <c r="L85" s="1"/>
    </row>
    <row r="86" spans="1:12" ht="15" customHeight="1" x14ac:dyDescent="0.2">
      <c r="A86" s="19">
        <v>76</v>
      </c>
      <c r="B86" s="14" t="s">
        <v>127</v>
      </c>
      <c r="C86" s="20" t="s">
        <v>128</v>
      </c>
      <c r="D86" s="16">
        <v>1200000</v>
      </c>
      <c r="E86" s="16"/>
      <c r="F86" s="18">
        <f>F85+D86</f>
        <v>1606890</v>
      </c>
      <c r="G86" s="30"/>
      <c r="H86" s="1"/>
      <c r="I86" s="1"/>
      <c r="J86" s="1"/>
      <c r="K86" s="1"/>
      <c r="L86" s="1"/>
    </row>
    <row r="87" spans="1:12" ht="15" customHeight="1" x14ac:dyDescent="0.2">
      <c r="A87" s="19">
        <v>77</v>
      </c>
      <c r="B87" s="14" t="s">
        <v>129</v>
      </c>
      <c r="C87" s="20" t="s">
        <v>130</v>
      </c>
      <c r="D87" s="16"/>
      <c r="E87" s="16">
        <v>450000</v>
      </c>
      <c r="F87" s="18">
        <f>F86-E87</f>
        <v>1156890</v>
      </c>
      <c r="G87" s="30"/>
      <c r="H87" s="1"/>
      <c r="I87" s="1"/>
      <c r="J87" s="1"/>
      <c r="K87" s="1"/>
      <c r="L87" s="1"/>
    </row>
    <row r="88" spans="1:12" ht="15" customHeight="1" x14ac:dyDescent="0.2">
      <c r="A88" s="19">
        <v>78</v>
      </c>
      <c r="B88" s="14" t="s">
        <v>131</v>
      </c>
      <c r="C88" s="20" t="s">
        <v>132</v>
      </c>
      <c r="D88" s="16"/>
      <c r="E88" s="16">
        <v>450000</v>
      </c>
      <c r="F88" s="18">
        <f>F87-E88</f>
        <v>706890</v>
      </c>
      <c r="G88" s="30"/>
    </row>
    <row r="89" spans="1:12" ht="15" customHeight="1" x14ac:dyDescent="0.2">
      <c r="A89" s="19">
        <v>79</v>
      </c>
      <c r="B89" s="14" t="s">
        <v>133</v>
      </c>
      <c r="C89" s="20" t="s">
        <v>134</v>
      </c>
      <c r="D89" s="16"/>
      <c r="E89" s="16">
        <v>450000</v>
      </c>
      <c r="F89" s="18">
        <f>F88-E89</f>
        <v>256890</v>
      </c>
      <c r="G89" s="30"/>
    </row>
    <row r="90" spans="1:12" ht="15" customHeight="1" x14ac:dyDescent="0.2">
      <c r="A90" s="19">
        <v>80</v>
      </c>
      <c r="B90" s="14" t="s">
        <v>135</v>
      </c>
      <c r="C90" s="20" t="s">
        <v>19</v>
      </c>
      <c r="D90" s="16">
        <v>3759000</v>
      </c>
      <c r="E90" s="16"/>
      <c r="F90" s="18">
        <f>F89+D90</f>
        <v>4015890</v>
      </c>
      <c r="G90" s="30"/>
    </row>
    <row r="91" spans="1:12" ht="15" customHeight="1" x14ac:dyDescent="0.2">
      <c r="A91" s="19">
        <v>80</v>
      </c>
      <c r="B91" s="14" t="s">
        <v>136</v>
      </c>
      <c r="C91" s="20" t="s">
        <v>137</v>
      </c>
      <c r="D91" s="16"/>
      <c r="E91" s="16">
        <v>450000</v>
      </c>
      <c r="F91" s="18">
        <f>F90-E91</f>
        <v>3565890</v>
      </c>
      <c r="G91" s="30"/>
    </row>
    <row r="92" spans="1:12" ht="15" customHeight="1" x14ac:dyDescent="0.2">
      <c r="A92" s="19">
        <v>81</v>
      </c>
      <c r="B92" s="14" t="s">
        <v>138</v>
      </c>
      <c r="C92" s="20" t="s">
        <v>139</v>
      </c>
      <c r="D92" s="16"/>
      <c r="E92" s="16">
        <v>500000</v>
      </c>
      <c r="F92" s="18">
        <f>F91-E92</f>
        <v>3065890</v>
      </c>
      <c r="G92" s="30"/>
    </row>
    <row r="93" spans="1:12" ht="15" customHeight="1" x14ac:dyDescent="0.2">
      <c r="A93" s="19">
        <v>82</v>
      </c>
      <c r="B93" s="14" t="s">
        <v>140</v>
      </c>
      <c r="C93" s="20" t="s">
        <v>80</v>
      </c>
      <c r="D93" s="16"/>
      <c r="E93" s="16">
        <v>500000</v>
      </c>
      <c r="F93" s="18">
        <f>F92-E93</f>
        <v>2565890</v>
      </c>
      <c r="G93" s="30"/>
    </row>
    <row r="94" spans="1:12" ht="15" customHeight="1" x14ac:dyDescent="0.2">
      <c r="A94" s="19">
        <v>83</v>
      </c>
      <c r="B94" s="14" t="s">
        <v>141</v>
      </c>
      <c r="C94" s="20" t="s">
        <v>139</v>
      </c>
      <c r="D94" s="16"/>
      <c r="E94" s="16">
        <v>500000</v>
      </c>
      <c r="F94" s="18">
        <f>F93-E94</f>
        <v>2065890</v>
      </c>
      <c r="G94" s="30"/>
    </row>
    <row r="95" spans="1:12" ht="15" customHeight="1" x14ac:dyDescent="0.2">
      <c r="A95" s="19">
        <v>84</v>
      </c>
      <c r="B95" s="14" t="s">
        <v>142</v>
      </c>
      <c r="C95" s="20" t="s">
        <v>143</v>
      </c>
      <c r="D95" s="16"/>
      <c r="E95" s="16">
        <v>450000</v>
      </c>
      <c r="F95" s="18">
        <f>F94-E95</f>
        <v>1615890</v>
      </c>
      <c r="G95" s="30"/>
    </row>
    <row r="96" spans="1:12" ht="15" customHeight="1" x14ac:dyDescent="0.2">
      <c r="A96" s="19">
        <v>85</v>
      </c>
      <c r="B96" s="14" t="s">
        <v>144</v>
      </c>
      <c r="C96" s="20" t="s">
        <v>145</v>
      </c>
      <c r="D96" s="16">
        <v>1000000</v>
      </c>
      <c r="E96" s="16"/>
      <c r="F96" s="18">
        <f>F95+D96</f>
        <v>2615890</v>
      </c>
      <c r="G96" s="30"/>
    </row>
    <row r="97" spans="1:7" ht="15" customHeight="1" x14ac:dyDescent="0.2">
      <c r="A97" s="19">
        <v>86</v>
      </c>
      <c r="B97" s="14" t="s">
        <v>146</v>
      </c>
      <c r="C97" s="20" t="s">
        <v>147</v>
      </c>
      <c r="D97" s="16"/>
      <c r="E97" s="16">
        <v>210000</v>
      </c>
      <c r="F97" s="18">
        <f>F96-E97</f>
        <v>2405890</v>
      </c>
      <c r="G97" s="30"/>
    </row>
    <row r="98" spans="1:7" ht="15" customHeight="1" x14ac:dyDescent="0.2">
      <c r="A98" s="19">
        <v>87</v>
      </c>
      <c r="B98" s="14" t="s">
        <v>148</v>
      </c>
      <c r="C98" s="20" t="s">
        <v>149</v>
      </c>
      <c r="D98" s="16"/>
      <c r="E98" s="16">
        <v>60000</v>
      </c>
      <c r="F98" s="18">
        <f>F97-E98</f>
        <v>2345890</v>
      </c>
      <c r="G98" s="30"/>
    </row>
    <row r="99" spans="1:7" ht="15" customHeight="1" x14ac:dyDescent="0.2">
      <c r="A99" s="19">
        <v>88</v>
      </c>
      <c r="B99" s="14" t="s">
        <v>148</v>
      </c>
      <c r="C99" s="20" t="s">
        <v>19</v>
      </c>
      <c r="D99" s="16">
        <v>3180000</v>
      </c>
      <c r="E99" s="16"/>
      <c r="F99" s="18">
        <f>F98+D99</f>
        <v>5525890</v>
      </c>
      <c r="G99" s="30"/>
    </row>
    <row r="100" spans="1:7" ht="15" customHeight="1" x14ac:dyDescent="0.2">
      <c r="A100" s="19">
        <v>89</v>
      </c>
      <c r="B100" s="14" t="s">
        <v>150</v>
      </c>
      <c r="C100" s="20" t="s">
        <v>151</v>
      </c>
      <c r="D100" s="16"/>
      <c r="E100" s="16">
        <v>1000000</v>
      </c>
      <c r="F100" s="18">
        <f>F99-E100</f>
        <v>4525890</v>
      </c>
      <c r="G100" s="30"/>
    </row>
    <row r="101" spans="1:7" ht="15" customHeight="1" x14ac:dyDescent="0.2">
      <c r="A101" s="19">
        <v>90</v>
      </c>
      <c r="B101" s="14" t="s">
        <v>150</v>
      </c>
      <c r="C101" s="20" t="s">
        <v>152</v>
      </c>
      <c r="D101" s="16">
        <v>1789000</v>
      </c>
      <c r="E101" s="16"/>
      <c r="F101" s="18">
        <f>F100+D101</f>
        <v>6314890</v>
      </c>
      <c r="G101" s="30"/>
    </row>
    <row r="102" spans="1:7" ht="15" customHeight="1" x14ac:dyDescent="0.2">
      <c r="A102" s="19">
        <v>91</v>
      </c>
      <c r="B102" s="14" t="s">
        <v>153</v>
      </c>
      <c r="C102" s="20" t="s">
        <v>154</v>
      </c>
      <c r="D102" s="16">
        <v>1936000</v>
      </c>
      <c r="E102" s="16"/>
      <c r="F102" s="18">
        <f>F101+D102</f>
        <v>8250890</v>
      </c>
      <c r="G102" s="30"/>
    </row>
    <row r="103" spans="1:7" ht="15" customHeight="1" x14ac:dyDescent="0.2">
      <c r="A103" s="19">
        <v>92</v>
      </c>
      <c r="B103" s="14" t="s">
        <v>155</v>
      </c>
      <c r="C103" s="20" t="s">
        <v>156</v>
      </c>
      <c r="D103" s="16">
        <v>141000</v>
      </c>
      <c r="E103" s="16"/>
      <c r="F103" s="18">
        <f>F102+D103</f>
        <v>8391890</v>
      </c>
      <c r="G103" s="30"/>
    </row>
    <row r="104" spans="1:7" ht="15" customHeight="1" x14ac:dyDescent="0.2">
      <c r="A104" s="19">
        <v>93</v>
      </c>
      <c r="B104" s="14" t="s">
        <v>155</v>
      </c>
      <c r="C104" s="20" t="s">
        <v>157</v>
      </c>
      <c r="D104" s="16"/>
      <c r="E104" s="16">
        <v>750000</v>
      </c>
      <c r="F104" s="18">
        <f>F103-E104</f>
        <v>7641890</v>
      </c>
      <c r="G104" s="30"/>
    </row>
    <row r="105" spans="1:7" ht="15" customHeight="1" x14ac:dyDescent="0.2">
      <c r="A105" s="19">
        <v>94</v>
      </c>
      <c r="B105" s="14" t="s">
        <v>158</v>
      </c>
      <c r="C105" s="20" t="s">
        <v>159</v>
      </c>
      <c r="D105" s="16"/>
      <c r="E105" s="16">
        <v>450000</v>
      </c>
      <c r="F105" s="18">
        <f t="shared" ref="F105:F111" si="3">F104-E105</f>
        <v>7191890</v>
      </c>
      <c r="G105" s="30"/>
    </row>
    <row r="106" spans="1:7" ht="15" customHeight="1" x14ac:dyDescent="0.2">
      <c r="A106" s="19">
        <v>95</v>
      </c>
      <c r="B106" s="14" t="s">
        <v>160</v>
      </c>
      <c r="C106" s="20" t="s">
        <v>161</v>
      </c>
      <c r="D106" s="16"/>
      <c r="E106" s="16">
        <v>500000</v>
      </c>
      <c r="F106" s="18">
        <f t="shared" si="3"/>
        <v>6691890</v>
      </c>
      <c r="G106" s="30"/>
    </row>
    <row r="107" spans="1:7" ht="15" customHeight="1" x14ac:dyDescent="0.2">
      <c r="A107" s="19">
        <v>96</v>
      </c>
      <c r="B107" s="14" t="s">
        <v>162</v>
      </c>
      <c r="C107" s="20" t="s">
        <v>163</v>
      </c>
      <c r="D107" s="16"/>
      <c r="E107" s="16">
        <v>250000</v>
      </c>
      <c r="F107" s="18">
        <f t="shared" si="3"/>
        <v>6441890</v>
      </c>
      <c r="G107" s="30"/>
    </row>
    <row r="108" spans="1:7" ht="15" customHeight="1" x14ac:dyDescent="0.2">
      <c r="A108" s="19">
        <v>97</v>
      </c>
      <c r="B108" s="14" t="s">
        <v>164</v>
      </c>
      <c r="C108" s="20" t="s">
        <v>165</v>
      </c>
      <c r="D108" s="16"/>
      <c r="E108" s="16">
        <v>100000</v>
      </c>
      <c r="F108" s="18">
        <f t="shared" si="3"/>
        <v>6341890</v>
      </c>
      <c r="G108" s="30"/>
    </row>
    <row r="109" spans="1:7" ht="15" customHeight="1" x14ac:dyDescent="0.2">
      <c r="A109" s="19">
        <v>98</v>
      </c>
      <c r="B109" s="14" t="s">
        <v>164</v>
      </c>
      <c r="C109" s="20" t="s">
        <v>166</v>
      </c>
      <c r="D109" s="16"/>
      <c r="E109" s="16">
        <v>450000</v>
      </c>
      <c r="F109" s="18">
        <f t="shared" si="3"/>
        <v>5891890</v>
      </c>
      <c r="G109" s="30"/>
    </row>
    <row r="110" spans="1:7" ht="15" customHeight="1" x14ac:dyDescent="0.2">
      <c r="A110" s="19">
        <v>99</v>
      </c>
      <c r="B110" s="14" t="s">
        <v>167</v>
      </c>
      <c r="C110" s="20" t="s">
        <v>163</v>
      </c>
      <c r="D110" s="16"/>
      <c r="E110" s="16">
        <v>500000</v>
      </c>
      <c r="F110" s="18">
        <f t="shared" si="3"/>
        <v>5391890</v>
      </c>
      <c r="G110" s="30"/>
    </row>
    <row r="111" spans="1:7" ht="15" customHeight="1" x14ac:dyDescent="0.2">
      <c r="A111" s="19">
        <v>100</v>
      </c>
      <c r="B111" s="14" t="s">
        <v>168</v>
      </c>
      <c r="C111" s="20" t="s">
        <v>169</v>
      </c>
      <c r="D111" s="16"/>
      <c r="E111" s="16">
        <v>100000</v>
      </c>
      <c r="F111" s="18">
        <f t="shared" si="3"/>
        <v>5291890</v>
      </c>
      <c r="G111" s="30"/>
    </row>
    <row r="112" spans="1:7" ht="15" customHeight="1" x14ac:dyDescent="0.2">
      <c r="A112" s="19">
        <v>101</v>
      </c>
      <c r="B112" s="14" t="s">
        <v>168</v>
      </c>
      <c r="C112" s="20" t="s">
        <v>170</v>
      </c>
      <c r="D112" s="16">
        <v>2102000</v>
      </c>
      <c r="E112" s="16"/>
      <c r="F112" s="18">
        <f>F111+D112</f>
        <v>7393890</v>
      </c>
      <c r="G112" s="30"/>
    </row>
    <row r="113" spans="1:7" ht="15" customHeight="1" x14ac:dyDescent="0.2">
      <c r="A113" s="19">
        <v>102</v>
      </c>
      <c r="B113" s="14" t="s">
        <v>168</v>
      </c>
      <c r="C113" s="20" t="s">
        <v>171</v>
      </c>
      <c r="D113" s="16">
        <v>4000000</v>
      </c>
      <c r="E113" s="16"/>
      <c r="F113" s="18">
        <f>F112+D113</f>
        <v>11393890</v>
      </c>
      <c r="G113" s="30"/>
    </row>
    <row r="114" spans="1:7" ht="15" customHeight="1" x14ac:dyDescent="0.2">
      <c r="A114" s="19">
        <v>103</v>
      </c>
      <c r="B114" s="14" t="s">
        <v>172</v>
      </c>
      <c r="C114" s="20" t="s">
        <v>163</v>
      </c>
      <c r="D114" s="16"/>
      <c r="E114" s="16">
        <v>500000</v>
      </c>
      <c r="F114" s="18">
        <f>F113-E114</f>
        <v>10893890</v>
      </c>
      <c r="G114" s="30"/>
    </row>
    <row r="115" spans="1:7" ht="15" customHeight="1" x14ac:dyDescent="0.2">
      <c r="A115" s="19">
        <v>104</v>
      </c>
      <c r="B115" s="14" t="s">
        <v>172</v>
      </c>
      <c r="C115" s="20" t="s">
        <v>173</v>
      </c>
      <c r="D115" s="16">
        <v>350000</v>
      </c>
      <c r="E115" s="16"/>
      <c r="F115" s="18">
        <f>F114+D115</f>
        <v>11243890</v>
      </c>
      <c r="G115" s="30"/>
    </row>
    <row r="116" spans="1:7" ht="15" customHeight="1" x14ac:dyDescent="0.2">
      <c r="A116" s="19">
        <v>105</v>
      </c>
      <c r="B116" s="14" t="s">
        <v>174</v>
      </c>
      <c r="C116" s="20" t="s">
        <v>163</v>
      </c>
      <c r="D116" s="16"/>
      <c r="E116" s="16">
        <v>500000</v>
      </c>
      <c r="F116" s="18">
        <f>F115-E116</f>
        <v>10743890</v>
      </c>
      <c r="G116" s="30"/>
    </row>
    <row r="117" spans="1:7" ht="15" customHeight="1" x14ac:dyDescent="0.2">
      <c r="A117" s="19">
        <v>106</v>
      </c>
      <c r="B117" s="14" t="s">
        <v>174</v>
      </c>
      <c r="C117" s="20" t="s">
        <v>175</v>
      </c>
      <c r="D117" s="16"/>
      <c r="E117" s="16">
        <v>450000</v>
      </c>
      <c r="F117" s="18">
        <f>F116-E117</f>
        <v>10293890</v>
      </c>
      <c r="G117" s="30"/>
    </row>
    <row r="118" spans="1:7" ht="15" customHeight="1" x14ac:dyDescent="0.2">
      <c r="A118" s="19">
        <v>107</v>
      </c>
      <c r="B118" s="26">
        <v>44140</v>
      </c>
      <c r="C118" s="25" t="s">
        <v>239</v>
      </c>
      <c r="D118" s="16">
        <v>892000</v>
      </c>
      <c r="E118" s="16"/>
      <c r="F118" s="18">
        <f>F117+D118</f>
        <v>11185890</v>
      </c>
      <c r="G118" s="30"/>
    </row>
    <row r="119" spans="1:7" ht="15" customHeight="1" x14ac:dyDescent="0.2">
      <c r="A119" s="19">
        <v>108</v>
      </c>
      <c r="B119" s="26">
        <v>44148</v>
      </c>
      <c r="C119" s="20" t="s">
        <v>163</v>
      </c>
      <c r="D119" s="16"/>
      <c r="E119" s="16">
        <v>100000</v>
      </c>
      <c r="F119" s="18">
        <f>F118-E119</f>
        <v>11085890</v>
      </c>
      <c r="G119" s="30"/>
    </row>
    <row r="120" spans="1:7" ht="15" customHeight="1" x14ac:dyDescent="0.2">
      <c r="A120" s="19">
        <v>109</v>
      </c>
      <c r="B120" s="26">
        <v>44155</v>
      </c>
      <c r="C120" s="20" t="s">
        <v>163</v>
      </c>
      <c r="D120" s="16"/>
      <c r="E120" s="16">
        <v>500000</v>
      </c>
      <c r="F120" s="18">
        <f t="shared" ref="F120:F125" si="4">F119-E120</f>
        <v>10585890</v>
      </c>
      <c r="G120" s="30"/>
    </row>
    <row r="121" spans="1:7" ht="15" customHeight="1" x14ac:dyDescent="0.2">
      <c r="A121" s="19">
        <v>107</v>
      </c>
      <c r="B121" s="14" t="s">
        <v>176</v>
      </c>
      <c r="C121" s="20" t="s">
        <v>177</v>
      </c>
      <c r="D121" s="16"/>
      <c r="E121" s="16">
        <v>350000</v>
      </c>
      <c r="F121" s="18">
        <f t="shared" si="4"/>
        <v>10235890</v>
      </c>
      <c r="G121" s="30"/>
    </row>
    <row r="122" spans="1:7" ht="15" customHeight="1" x14ac:dyDescent="0.2">
      <c r="A122" s="19">
        <v>108</v>
      </c>
      <c r="B122" s="14" t="s">
        <v>176</v>
      </c>
      <c r="C122" s="20" t="s">
        <v>178</v>
      </c>
      <c r="D122" s="16"/>
      <c r="E122" s="16">
        <v>320000</v>
      </c>
      <c r="F122" s="18">
        <f t="shared" si="4"/>
        <v>9915890</v>
      </c>
      <c r="G122" s="30"/>
    </row>
    <row r="123" spans="1:7" ht="15" customHeight="1" x14ac:dyDescent="0.2">
      <c r="A123" s="19"/>
      <c r="B123" s="14">
        <v>44162</v>
      </c>
      <c r="C123" s="20" t="s">
        <v>163</v>
      </c>
      <c r="D123" s="16"/>
      <c r="E123" s="16">
        <v>100000</v>
      </c>
      <c r="F123" s="18">
        <f t="shared" si="4"/>
        <v>9815890</v>
      </c>
      <c r="G123" s="30"/>
    </row>
    <row r="124" spans="1:7" ht="15" customHeight="1" x14ac:dyDescent="0.2">
      <c r="A124" s="19">
        <v>109</v>
      </c>
      <c r="B124" s="14" t="s">
        <v>179</v>
      </c>
      <c r="C124" s="20" t="s">
        <v>113</v>
      </c>
      <c r="D124" s="16"/>
      <c r="E124" s="16">
        <v>450000</v>
      </c>
      <c r="F124" s="18">
        <f t="shared" si="4"/>
        <v>9365890</v>
      </c>
      <c r="G124" s="30"/>
    </row>
    <row r="125" spans="1:7" ht="15" customHeight="1" x14ac:dyDescent="0.2">
      <c r="A125" s="19"/>
      <c r="B125" s="26" t="s">
        <v>240</v>
      </c>
      <c r="C125" s="25" t="s">
        <v>241</v>
      </c>
      <c r="D125" s="16"/>
      <c r="E125" s="16">
        <v>300000</v>
      </c>
      <c r="F125" s="18">
        <f t="shared" si="4"/>
        <v>9065890</v>
      </c>
      <c r="G125" s="30"/>
    </row>
    <row r="126" spans="1:7" ht="15" customHeight="1" x14ac:dyDescent="0.2">
      <c r="A126" s="19"/>
      <c r="B126" s="26" t="s">
        <v>242</v>
      </c>
      <c r="C126" s="25" t="s">
        <v>244</v>
      </c>
      <c r="D126" s="16">
        <v>1150000</v>
      </c>
      <c r="E126" s="16"/>
      <c r="F126" s="18">
        <f>F125+D126</f>
        <v>10215890</v>
      </c>
      <c r="G126" s="30"/>
    </row>
    <row r="127" spans="1:7" ht="15" customHeight="1" x14ac:dyDescent="0.2">
      <c r="A127" s="19"/>
      <c r="B127" s="26" t="s">
        <v>243</v>
      </c>
      <c r="C127" s="25" t="s">
        <v>244</v>
      </c>
      <c r="D127" s="16">
        <v>1155000</v>
      </c>
      <c r="E127" s="16"/>
      <c r="F127" s="18">
        <f>F126+D127</f>
        <v>11370890</v>
      </c>
      <c r="G127" s="30"/>
    </row>
    <row r="128" spans="1:7" ht="15" customHeight="1" x14ac:dyDescent="0.2">
      <c r="A128" s="19"/>
      <c r="B128" s="26" t="s">
        <v>243</v>
      </c>
      <c r="C128" s="25" t="s">
        <v>246</v>
      </c>
      <c r="D128" s="16"/>
      <c r="E128" s="16">
        <v>444200</v>
      </c>
      <c r="F128" s="18">
        <f>F127-E128</f>
        <v>10926690</v>
      </c>
      <c r="G128" s="30"/>
    </row>
    <row r="129" spans="1:7" ht="15" customHeight="1" x14ac:dyDescent="0.2">
      <c r="A129" s="19"/>
      <c r="B129" s="26" t="s">
        <v>245</v>
      </c>
      <c r="C129" s="20" t="s">
        <v>163</v>
      </c>
      <c r="D129" s="16"/>
      <c r="E129" s="16">
        <v>500000</v>
      </c>
      <c r="F129" s="18">
        <f>F128-E129</f>
        <v>10426690</v>
      </c>
      <c r="G129" s="30"/>
    </row>
    <row r="130" spans="1:7" ht="14.5" customHeight="1" x14ac:dyDescent="0.2">
      <c r="A130" s="19">
        <v>110</v>
      </c>
      <c r="B130" s="14" t="s">
        <v>180</v>
      </c>
      <c r="C130" s="20" t="s">
        <v>181</v>
      </c>
      <c r="D130" s="16"/>
      <c r="E130" s="16">
        <v>250000</v>
      </c>
      <c r="F130" s="18">
        <f>F129-E130</f>
        <v>10176690</v>
      </c>
      <c r="G130" s="30"/>
    </row>
    <row r="131" spans="1:7" ht="15" customHeight="1" x14ac:dyDescent="0.2">
      <c r="A131" s="19">
        <v>111</v>
      </c>
      <c r="B131" s="14" t="s">
        <v>180</v>
      </c>
      <c r="C131" s="20" t="s">
        <v>182</v>
      </c>
      <c r="D131" s="16"/>
      <c r="E131" s="16">
        <v>450000</v>
      </c>
      <c r="F131" s="18">
        <f>F130-E131</f>
        <v>9726690</v>
      </c>
      <c r="G131" s="30"/>
    </row>
    <row r="132" spans="1:7" ht="15" customHeight="1" x14ac:dyDescent="0.2">
      <c r="A132" s="19">
        <v>112</v>
      </c>
      <c r="B132" s="14" t="s">
        <v>183</v>
      </c>
      <c r="C132" s="25" t="s">
        <v>255</v>
      </c>
      <c r="D132" s="16"/>
      <c r="E132" s="16">
        <v>700000</v>
      </c>
      <c r="F132" s="18">
        <f>F131-E132</f>
        <v>9026690</v>
      </c>
      <c r="G132" s="30"/>
    </row>
    <row r="133" spans="1:7" ht="20.25" customHeight="1" x14ac:dyDescent="0.2">
      <c r="A133" s="19"/>
      <c r="B133" s="14" t="s">
        <v>247</v>
      </c>
      <c r="C133" s="25" t="s">
        <v>248</v>
      </c>
      <c r="D133" s="16">
        <v>1814000</v>
      </c>
      <c r="E133" s="16"/>
      <c r="F133" s="18">
        <f>F132+D133</f>
        <v>10840690</v>
      </c>
      <c r="G133" s="30"/>
    </row>
    <row r="134" spans="1:7" ht="15" customHeight="1" x14ac:dyDescent="0.2">
      <c r="A134" s="19">
        <v>113</v>
      </c>
      <c r="B134" s="57">
        <v>44221</v>
      </c>
      <c r="C134" s="20" t="s">
        <v>184</v>
      </c>
      <c r="D134" s="16"/>
      <c r="E134" s="16">
        <v>450000</v>
      </c>
      <c r="F134" s="18">
        <f>F133-E134</f>
        <v>10390690</v>
      </c>
      <c r="G134" s="30"/>
    </row>
    <row r="135" spans="1:7" ht="15" customHeight="1" x14ac:dyDescent="0.2">
      <c r="A135" s="19"/>
      <c r="B135" s="57">
        <v>44225</v>
      </c>
      <c r="C135" s="25" t="s">
        <v>249</v>
      </c>
      <c r="D135" s="16"/>
      <c r="E135" s="16">
        <v>100000</v>
      </c>
      <c r="F135" s="18">
        <f t="shared" ref="F135:F140" si="5">F134-E135</f>
        <v>10290690</v>
      </c>
      <c r="G135" s="30"/>
    </row>
    <row r="136" spans="1:7" ht="15" customHeight="1" x14ac:dyDescent="0.2">
      <c r="A136" s="19">
        <v>114</v>
      </c>
      <c r="B136" s="57">
        <v>44229</v>
      </c>
      <c r="C136" s="25" t="s">
        <v>80</v>
      </c>
      <c r="D136" s="16"/>
      <c r="E136" s="16">
        <v>1000000</v>
      </c>
      <c r="F136" s="18">
        <f t="shared" si="5"/>
        <v>9290690</v>
      </c>
      <c r="G136" s="30"/>
    </row>
    <row r="137" spans="1:7" ht="15" customHeight="1" x14ac:dyDescent="0.2">
      <c r="A137" s="19"/>
      <c r="B137" s="57">
        <v>44246</v>
      </c>
      <c r="C137" s="25" t="s">
        <v>250</v>
      </c>
      <c r="D137" s="16"/>
      <c r="E137" s="16">
        <v>700000</v>
      </c>
      <c r="F137" s="18">
        <f t="shared" si="5"/>
        <v>8590690</v>
      </c>
      <c r="G137" s="30"/>
    </row>
    <row r="138" spans="1:7" ht="15" customHeight="1" x14ac:dyDescent="0.2">
      <c r="A138" s="19"/>
      <c r="B138" s="57">
        <v>44247</v>
      </c>
      <c r="C138" s="25" t="s">
        <v>251</v>
      </c>
      <c r="D138" s="16"/>
      <c r="E138" s="16">
        <v>156000</v>
      </c>
      <c r="F138" s="18">
        <f t="shared" si="5"/>
        <v>8434690</v>
      </c>
      <c r="G138" s="30"/>
    </row>
    <row r="139" spans="1:7" ht="15" customHeight="1" x14ac:dyDescent="0.2">
      <c r="A139" s="19">
        <v>115</v>
      </c>
      <c r="B139" s="58">
        <v>44252</v>
      </c>
      <c r="C139" s="25" t="s">
        <v>185</v>
      </c>
      <c r="D139" s="16"/>
      <c r="E139" s="16">
        <v>450000</v>
      </c>
      <c r="F139" s="18">
        <f t="shared" si="5"/>
        <v>7984690</v>
      </c>
      <c r="G139" s="30"/>
    </row>
    <row r="140" spans="1:7" ht="15" customHeight="1" x14ac:dyDescent="0.2">
      <c r="A140" s="19"/>
      <c r="B140" s="58">
        <v>44253</v>
      </c>
      <c r="C140" s="25" t="s">
        <v>252</v>
      </c>
      <c r="D140" s="16"/>
      <c r="E140" s="16">
        <v>100000</v>
      </c>
      <c r="F140" s="18">
        <f t="shared" si="5"/>
        <v>7884690</v>
      </c>
      <c r="G140" s="30"/>
    </row>
    <row r="141" spans="1:7" ht="15" customHeight="1" x14ac:dyDescent="0.2">
      <c r="A141" s="19">
        <v>116</v>
      </c>
      <c r="B141" s="59">
        <v>44269</v>
      </c>
      <c r="C141" s="25" t="s">
        <v>208</v>
      </c>
      <c r="D141" s="16">
        <v>8071600</v>
      </c>
      <c r="E141" s="16"/>
      <c r="F141" s="18">
        <f>F140+D141</f>
        <v>15956290</v>
      </c>
      <c r="G141" s="30"/>
    </row>
    <row r="142" spans="1:7" ht="15" customHeight="1" x14ac:dyDescent="0.2">
      <c r="A142" s="19">
        <v>117</v>
      </c>
      <c r="B142" s="59">
        <v>44267</v>
      </c>
      <c r="C142" s="25" t="s">
        <v>209</v>
      </c>
      <c r="D142" s="16"/>
      <c r="E142" s="16">
        <v>500000</v>
      </c>
      <c r="F142" s="18">
        <f t="shared" ref="F142:F147" si="6">F141-E142</f>
        <v>15456290</v>
      </c>
      <c r="G142" s="30"/>
    </row>
    <row r="143" spans="1:7" ht="15" customHeight="1" x14ac:dyDescent="0.2">
      <c r="A143" s="19">
        <v>118</v>
      </c>
      <c r="B143" s="59">
        <v>44274</v>
      </c>
      <c r="C143" s="25" t="s">
        <v>210</v>
      </c>
      <c r="D143" s="16"/>
      <c r="E143" s="16">
        <v>500000</v>
      </c>
      <c r="F143" s="18">
        <f t="shared" si="6"/>
        <v>14956290</v>
      </c>
      <c r="G143" s="30"/>
    </row>
    <row r="144" spans="1:7" ht="15" customHeight="1" x14ac:dyDescent="0.2">
      <c r="A144" s="19">
        <v>119</v>
      </c>
      <c r="B144" s="57">
        <v>44280</v>
      </c>
      <c r="C144" s="20" t="s">
        <v>186</v>
      </c>
      <c r="D144" s="16"/>
      <c r="E144" s="16">
        <v>450000</v>
      </c>
      <c r="F144" s="18">
        <f t="shared" si="6"/>
        <v>14506290</v>
      </c>
      <c r="G144" s="30"/>
    </row>
    <row r="145" spans="1:7" ht="15" customHeight="1" x14ac:dyDescent="0.2">
      <c r="A145" s="19">
        <v>120</v>
      </c>
      <c r="B145" s="57">
        <v>44281</v>
      </c>
      <c r="C145" s="25" t="s">
        <v>211</v>
      </c>
      <c r="D145" s="16"/>
      <c r="E145" s="16">
        <v>100000</v>
      </c>
      <c r="F145" s="18">
        <f t="shared" si="6"/>
        <v>14406290</v>
      </c>
      <c r="G145" s="30"/>
    </row>
    <row r="146" spans="1:7" ht="15" customHeight="1" x14ac:dyDescent="0.2">
      <c r="A146" s="19">
        <v>121</v>
      </c>
      <c r="B146" s="60">
        <v>44288</v>
      </c>
      <c r="C146" s="25" t="s">
        <v>212</v>
      </c>
      <c r="D146" s="16"/>
      <c r="E146" s="16">
        <v>100000</v>
      </c>
      <c r="F146" s="18">
        <f t="shared" si="6"/>
        <v>14306290</v>
      </c>
      <c r="G146" s="30"/>
    </row>
    <row r="147" spans="1:7" ht="15" customHeight="1" x14ac:dyDescent="0.2">
      <c r="A147" s="19">
        <v>122</v>
      </c>
      <c r="B147" s="60">
        <v>44295</v>
      </c>
      <c r="C147" s="25" t="s">
        <v>213</v>
      </c>
      <c r="D147" s="16"/>
      <c r="E147" s="16">
        <v>500000</v>
      </c>
      <c r="F147" s="18">
        <f t="shared" si="6"/>
        <v>13806290</v>
      </c>
      <c r="G147" s="30"/>
    </row>
    <row r="148" spans="1:7" ht="15" customHeight="1" x14ac:dyDescent="0.2">
      <c r="A148" s="19">
        <v>123</v>
      </c>
      <c r="B148" s="57">
        <v>44296</v>
      </c>
      <c r="C148" s="20" t="s">
        <v>187</v>
      </c>
      <c r="D148" s="16">
        <v>3253000</v>
      </c>
      <c r="E148" s="16"/>
      <c r="F148" s="18">
        <f>F147+D148</f>
        <v>17059290</v>
      </c>
      <c r="G148" s="30"/>
    </row>
    <row r="149" spans="1:7" ht="15" customHeight="1" x14ac:dyDescent="0.2">
      <c r="A149" s="19">
        <v>124</v>
      </c>
      <c r="B149" s="60">
        <v>44298</v>
      </c>
      <c r="C149" s="25" t="s">
        <v>214</v>
      </c>
      <c r="D149" s="18"/>
      <c r="E149" s="18">
        <v>200000</v>
      </c>
      <c r="F149" s="18">
        <f>F148-E149</f>
        <v>16859290</v>
      </c>
      <c r="G149" s="30"/>
    </row>
    <row r="150" spans="1:7" ht="15" customHeight="1" x14ac:dyDescent="0.2">
      <c r="A150" s="19">
        <v>125</v>
      </c>
      <c r="B150" s="60">
        <v>44300</v>
      </c>
      <c r="C150" s="25" t="s">
        <v>215</v>
      </c>
      <c r="D150" s="16"/>
      <c r="E150" s="16">
        <v>200000</v>
      </c>
      <c r="F150" s="18">
        <f>F149-E150</f>
        <v>16659290</v>
      </c>
      <c r="G150" s="30"/>
    </row>
    <row r="151" spans="1:7" ht="15" customHeight="1" x14ac:dyDescent="0.2">
      <c r="A151" s="19">
        <v>126</v>
      </c>
      <c r="B151" s="60">
        <v>44302</v>
      </c>
      <c r="C151" s="25" t="s">
        <v>216</v>
      </c>
      <c r="D151" s="16"/>
      <c r="E151" s="16">
        <v>100000</v>
      </c>
      <c r="F151" s="18">
        <f>F150-E151</f>
        <v>16559290</v>
      </c>
      <c r="G151" s="30"/>
    </row>
    <row r="152" spans="1:7" ht="15" customHeight="1" x14ac:dyDescent="0.2">
      <c r="A152" s="19">
        <v>127</v>
      </c>
      <c r="B152" s="60">
        <v>44303</v>
      </c>
      <c r="C152" s="25" t="s">
        <v>217</v>
      </c>
      <c r="D152" s="16"/>
      <c r="E152" s="16">
        <v>15000</v>
      </c>
      <c r="F152" s="18">
        <f>F151-E152</f>
        <v>16544290</v>
      </c>
      <c r="G152" s="30"/>
    </row>
    <row r="153" spans="1:7" ht="15" customHeight="1" x14ac:dyDescent="0.2">
      <c r="A153" s="19">
        <v>128</v>
      </c>
      <c r="B153" s="60">
        <v>44304</v>
      </c>
      <c r="C153" s="25" t="s">
        <v>218</v>
      </c>
      <c r="D153" s="16"/>
      <c r="E153" s="16">
        <v>70000</v>
      </c>
      <c r="F153" s="18">
        <f>F152-E153</f>
        <v>16474290</v>
      </c>
      <c r="G153" s="30"/>
    </row>
    <row r="154" spans="1:7" ht="15" customHeight="1" x14ac:dyDescent="0.2">
      <c r="A154" s="19">
        <v>129</v>
      </c>
      <c r="B154" s="60">
        <v>44307</v>
      </c>
      <c r="C154" s="25" t="s">
        <v>219</v>
      </c>
      <c r="D154" s="16">
        <v>3322500</v>
      </c>
      <c r="E154" s="16"/>
      <c r="F154" s="18">
        <f>F153+D154</f>
        <v>19796790</v>
      </c>
      <c r="G154" s="30"/>
    </row>
    <row r="155" spans="1:7" ht="15" customHeight="1" x14ac:dyDescent="0.2">
      <c r="A155" s="19">
        <v>130</v>
      </c>
      <c r="B155" s="60">
        <v>44309</v>
      </c>
      <c r="C155" s="25" t="s">
        <v>220</v>
      </c>
      <c r="D155" s="16"/>
      <c r="E155" s="16">
        <v>100000</v>
      </c>
      <c r="F155" s="18">
        <f>F154-E155</f>
        <v>19696790</v>
      </c>
      <c r="G155" s="30"/>
    </row>
    <row r="156" spans="1:7" ht="15" customHeight="1" x14ac:dyDescent="0.2">
      <c r="A156" s="19">
        <v>131</v>
      </c>
      <c r="B156" s="57">
        <v>44310</v>
      </c>
      <c r="C156" s="20" t="s">
        <v>188</v>
      </c>
      <c r="D156" s="16"/>
      <c r="E156" s="16">
        <v>500000</v>
      </c>
      <c r="F156" s="18">
        <f>F148-E156</f>
        <v>16559290</v>
      </c>
      <c r="G156" s="30"/>
    </row>
    <row r="157" spans="1:7" ht="15" customHeight="1" x14ac:dyDescent="0.2">
      <c r="A157" s="19">
        <v>132</v>
      </c>
      <c r="B157" s="57">
        <v>44311</v>
      </c>
      <c r="C157" s="20" t="s">
        <v>189</v>
      </c>
      <c r="D157" s="16"/>
      <c r="E157" s="16">
        <v>900000</v>
      </c>
      <c r="F157" s="18">
        <f>F156-E157</f>
        <v>15659290</v>
      </c>
      <c r="G157" s="30"/>
    </row>
    <row r="158" spans="1:7" ht="15" customHeight="1" x14ac:dyDescent="0.2">
      <c r="A158" s="19">
        <v>133</v>
      </c>
      <c r="B158" s="57">
        <v>44311</v>
      </c>
      <c r="C158" s="20" t="s">
        <v>190</v>
      </c>
      <c r="D158" s="16"/>
      <c r="E158" s="16">
        <v>5971000</v>
      </c>
      <c r="F158" s="18">
        <f>F157-E158</f>
        <v>9688290</v>
      </c>
      <c r="G158" s="30"/>
    </row>
    <row r="159" spans="1:7" ht="15" customHeight="1" x14ac:dyDescent="0.2">
      <c r="A159" s="19">
        <v>134</v>
      </c>
      <c r="B159" s="57">
        <v>44312</v>
      </c>
      <c r="C159" s="25" t="s">
        <v>221</v>
      </c>
      <c r="D159" s="18"/>
      <c r="E159" s="18">
        <v>500000</v>
      </c>
      <c r="F159" s="18">
        <f>F158-E159</f>
        <v>9188290</v>
      </c>
      <c r="G159" s="30"/>
    </row>
    <row r="160" spans="1:7" ht="15" customHeight="1" x14ac:dyDescent="0.2">
      <c r="A160" s="19">
        <v>135</v>
      </c>
      <c r="B160" s="57">
        <v>44313</v>
      </c>
      <c r="C160" s="25" t="s">
        <v>222</v>
      </c>
      <c r="D160" s="18"/>
      <c r="E160" s="18">
        <v>500000</v>
      </c>
      <c r="F160" s="18">
        <f>F159-E160</f>
        <v>8688290</v>
      </c>
      <c r="G160" s="30"/>
    </row>
    <row r="161" spans="1:7" ht="15" customHeight="1" x14ac:dyDescent="0.2">
      <c r="A161" s="19">
        <v>136</v>
      </c>
      <c r="B161" s="57">
        <v>44316</v>
      </c>
      <c r="C161" s="25" t="s">
        <v>223</v>
      </c>
      <c r="D161" s="18"/>
      <c r="E161" s="18">
        <v>500000</v>
      </c>
      <c r="F161" s="18">
        <f>F160-E161</f>
        <v>8188290</v>
      </c>
      <c r="G161" s="30"/>
    </row>
    <row r="162" spans="1:7" ht="15" customHeight="1" x14ac:dyDescent="0.2">
      <c r="A162" s="19">
        <v>137</v>
      </c>
      <c r="B162" s="57">
        <v>44316</v>
      </c>
      <c r="C162" s="25" t="s">
        <v>222</v>
      </c>
      <c r="D162" s="18"/>
      <c r="E162" s="18">
        <v>500000</v>
      </c>
      <c r="F162" s="18">
        <f t="shared" ref="F162:F171" si="7">F161-E162</f>
        <v>7688290</v>
      </c>
      <c r="G162" s="30"/>
    </row>
    <row r="163" spans="1:7" ht="15" customHeight="1" x14ac:dyDescent="0.2">
      <c r="A163" s="19">
        <v>138</v>
      </c>
      <c r="B163" s="57" t="s">
        <v>198</v>
      </c>
      <c r="C163" s="20" t="s">
        <v>202</v>
      </c>
      <c r="D163" s="16"/>
      <c r="E163" s="16">
        <v>250000</v>
      </c>
      <c r="F163" s="18">
        <f t="shared" si="7"/>
        <v>7438290</v>
      </c>
      <c r="G163" s="30"/>
    </row>
    <row r="164" spans="1:7" ht="15" customHeight="1" x14ac:dyDescent="0.2">
      <c r="A164" s="19"/>
      <c r="B164" s="57" t="s">
        <v>253</v>
      </c>
      <c r="C164" s="25" t="s">
        <v>254</v>
      </c>
      <c r="D164" s="16">
        <v>3796000</v>
      </c>
      <c r="E164" s="16"/>
      <c r="F164" s="18">
        <f>F163+D164</f>
        <v>11234290</v>
      </c>
      <c r="G164" s="30"/>
    </row>
    <row r="165" spans="1:7" ht="15" customHeight="1" x14ac:dyDescent="0.2">
      <c r="A165" s="19">
        <v>139</v>
      </c>
      <c r="B165" s="57" t="s">
        <v>199</v>
      </c>
      <c r="C165" s="20" t="s">
        <v>200</v>
      </c>
      <c r="D165" s="16"/>
      <c r="E165" s="16">
        <v>180000</v>
      </c>
      <c r="F165" s="18">
        <f>F164-E165</f>
        <v>11054290</v>
      </c>
      <c r="G165" s="30"/>
    </row>
    <row r="166" spans="1:7" ht="15" customHeight="1" x14ac:dyDescent="0.2">
      <c r="A166" s="19">
        <v>140</v>
      </c>
      <c r="B166" s="57" t="s">
        <v>226</v>
      </c>
      <c r="C166" s="25" t="s">
        <v>221</v>
      </c>
      <c r="D166" s="16"/>
      <c r="E166" s="16">
        <v>500000</v>
      </c>
      <c r="F166" s="18">
        <f t="shared" si="7"/>
        <v>10554290</v>
      </c>
      <c r="G166" s="30"/>
    </row>
    <row r="167" spans="1:7" ht="15" customHeight="1" x14ac:dyDescent="0.2">
      <c r="A167" s="19">
        <v>141</v>
      </c>
      <c r="B167" s="57" t="s">
        <v>227</v>
      </c>
      <c r="C167" s="25" t="s">
        <v>228</v>
      </c>
      <c r="D167" s="16"/>
      <c r="E167" s="16">
        <v>800000</v>
      </c>
      <c r="F167" s="18">
        <f t="shared" si="7"/>
        <v>9754290</v>
      </c>
      <c r="G167" s="30"/>
    </row>
    <row r="168" spans="1:7" ht="15" customHeight="1" x14ac:dyDescent="0.2">
      <c r="A168" s="19">
        <v>142</v>
      </c>
      <c r="B168" s="57" t="s">
        <v>227</v>
      </c>
      <c r="C168" s="25" t="s">
        <v>229</v>
      </c>
      <c r="D168" s="16"/>
      <c r="E168" s="16">
        <v>500000</v>
      </c>
      <c r="F168" s="18">
        <f t="shared" si="7"/>
        <v>9254290</v>
      </c>
      <c r="G168" s="30"/>
    </row>
    <row r="169" spans="1:7" ht="15" customHeight="1" x14ac:dyDescent="0.2">
      <c r="A169" s="19">
        <v>143</v>
      </c>
      <c r="B169" s="57" t="s">
        <v>227</v>
      </c>
      <c r="C169" s="25" t="s">
        <v>230</v>
      </c>
      <c r="D169" s="16"/>
      <c r="E169" s="16">
        <v>500000</v>
      </c>
      <c r="F169" s="18">
        <f t="shared" si="7"/>
        <v>8754290</v>
      </c>
      <c r="G169" s="30"/>
    </row>
    <row r="170" spans="1:7" ht="15" customHeight="1" x14ac:dyDescent="0.2">
      <c r="A170" s="19">
        <v>144</v>
      </c>
      <c r="B170" s="57" t="s">
        <v>201</v>
      </c>
      <c r="C170" s="20" t="s">
        <v>203</v>
      </c>
      <c r="D170" s="16"/>
      <c r="E170" s="16">
        <v>250000</v>
      </c>
      <c r="F170" s="18">
        <f t="shared" si="7"/>
        <v>8504290</v>
      </c>
      <c r="G170" s="30"/>
    </row>
    <row r="171" spans="1:7" ht="15" customHeight="1" x14ac:dyDescent="0.2">
      <c r="A171" s="19">
        <v>145</v>
      </c>
      <c r="B171" s="57" t="s">
        <v>204</v>
      </c>
      <c r="C171" s="20" t="s">
        <v>205</v>
      </c>
      <c r="D171" s="16"/>
      <c r="E171" s="16">
        <v>624000</v>
      </c>
      <c r="F171" s="18">
        <f t="shared" si="7"/>
        <v>7880290</v>
      </c>
      <c r="G171" s="30"/>
    </row>
    <row r="172" spans="1:7" ht="15" customHeight="1" x14ac:dyDescent="0.2">
      <c r="A172" s="19">
        <v>146</v>
      </c>
      <c r="B172" s="57" t="s">
        <v>224</v>
      </c>
      <c r="C172" s="25" t="s">
        <v>225</v>
      </c>
      <c r="D172" s="16">
        <v>2782000</v>
      </c>
      <c r="E172" s="16"/>
      <c r="F172" s="18">
        <f>F171+D172</f>
        <v>10662290</v>
      </c>
      <c r="G172" s="30"/>
    </row>
    <row r="173" spans="1:7" ht="15" customHeight="1" x14ac:dyDescent="0.2">
      <c r="A173" s="19">
        <v>147</v>
      </c>
      <c r="B173" s="57" t="s">
        <v>231</v>
      </c>
      <c r="C173" s="25" t="s">
        <v>232</v>
      </c>
      <c r="D173" s="16"/>
      <c r="E173" s="16">
        <v>1500000</v>
      </c>
      <c r="F173" s="18">
        <f>F172-E173</f>
        <v>9162290</v>
      </c>
      <c r="G173" s="30"/>
    </row>
    <row r="174" spans="1:7" ht="15" customHeight="1" x14ac:dyDescent="0.2">
      <c r="A174" s="19">
        <v>148</v>
      </c>
      <c r="B174" s="57" t="s">
        <v>231</v>
      </c>
      <c r="C174" s="25" t="s">
        <v>234</v>
      </c>
      <c r="D174" s="16">
        <v>2673200</v>
      </c>
      <c r="E174" s="16"/>
      <c r="F174" s="18">
        <f>F173+D174</f>
        <v>11835490</v>
      </c>
      <c r="G174" s="30"/>
    </row>
    <row r="175" spans="1:7" ht="15" customHeight="1" x14ac:dyDescent="0.2">
      <c r="A175" s="19">
        <v>149</v>
      </c>
      <c r="B175" s="57" t="s">
        <v>233</v>
      </c>
      <c r="C175" s="25" t="s">
        <v>229</v>
      </c>
      <c r="D175" s="16"/>
      <c r="E175" s="16">
        <v>100000</v>
      </c>
      <c r="F175" s="18">
        <f t="shared" ref="F175:F180" si="8">F174-E175</f>
        <v>11735490</v>
      </c>
      <c r="G175" s="30"/>
    </row>
    <row r="176" spans="1:7" ht="15" customHeight="1" x14ac:dyDescent="0.2">
      <c r="A176" s="19">
        <v>150</v>
      </c>
      <c r="B176" s="57" t="s">
        <v>256</v>
      </c>
      <c r="C176" s="25" t="s">
        <v>229</v>
      </c>
      <c r="D176" s="16"/>
      <c r="E176" s="16">
        <v>100000</v>
      </c>
      <c r="F176" s="18">
        <f t="shared" si="8"/>
        <v>11635490</v>
      </c>
      <c r="G176" s="30"/>
    </row>
    <row r="177" spans="1:7" ht="15" customHeight="1" x14ac:dyDescent="0.2">
      <c r="A177" s="19">
        <v>151</v>
      </c>
      <c r="B177" s="57" t="s">
        <v>206</v>
      </c>
      <c r="C177" s="25" t="s">
        <v>229</v>
      </c>
      <c r="D177" s="16"/>
      <c r="E177" s="16">
        <v>500000</v>
      </c>
      <c r="F177" s="18">
        <f t="shared" si="8"/>
        <v>11135490</v>
      </c>
      <c r="G177" s="30"/>
    </row>
    <row r="178" spans="1:7" ht="15" customHeight="1" x14ac:dyDescent="0.2">
      <c r="A178" s="19">
        <v>152</v>
      </c>
      <c r="B178" s="57" t="s">
        <v>206</v>
      </c>
      <c r="C178" s="20" t="s">
        <v>207</v>
      </c>
      <c r="D178" s="16"/>
      <c r="E178" s="16">
        <v>450000</v>
      </c>
      <c r="F178" s="18">
        <f t="shared" si="8"/>
        <v>10685490</v>
      </c>
      <c r="G178" s="30"/>
    </row>
    <row r="179" spans="1:7" ht="15" customHeight="1" x14ac:dyDescent="0.2">
      <c r="A179" s="19">
        <v>153</v>
      </c>
      <c r="B179" s="57" t="s">
        <v>235</v>
      </c>
      <c r="C179" s="25" t="s">
        <v>236</v>
      </c>
      <c r="D179" s="16"/>
      <c r="E179" s="16">
        <v>500000</v>
      </c>
      <c r="F179" s="18">
        <f t="shared" si="8"/>
        <v>10185490</v>
      </c>
      <c r="G179" s="30"/>
    </row>
    <row r="180" spans="1:7" ht="15" customHeight="1" x14ac:dyDescent="0.2">
      <c r="A180" s="19">
        <v>154</v>
      </c>
      <c r="B180" s="57" t="s">
        <v>237</v>
      </c>
      <c r="C180" s="25" t="s">
        <v>238</v>
      </c>
      <c r="D180" s="16"/>
      <c r="E180" s="16">
        <v>200000</v>
      </c>
      <c r="F180" s="18">
        <f t="shared" si="8"/>
        <v>9985490</v>
      </c>
      <c r="G180" s="30"/>
    </row>
    <row r="181" spans="1:7" ht="15" customHeight="1" x14ac:dyDescent="0.2">
      <c r="A181" s="19">
        <v>155</v>
      </c>
      <c r="B181" s="57" t="s">
        <v>257</v>
      </c>
      <c r="C181" s="25" t="s">
        <v>258</v>
      </c>
      <c r="D181" s="18">
        <v>4670000</v>
      </c>
      <c r="E181" s="18"/>
      <c r="F181" s="18">
        <f>F180+D181</f>
        <v>14655490</v>
      </c>
      <c r="G181" s="30"/>
    </row>
    <row r="182" spans="1:7" ht="15" customHeight="1" x14ac:dyDescent="0.2">
      <c r="A182" s="19">
        <v>156</v>
      </c>
      <c r="B182" s="58" t="s">
        <v>259</v>
      </c>
      <c r="C182" s="25" t="s">
        <v>260</v>
      </c>
      <c r="D182" s="18"/>
      <c r="E182" s="18">
        <v>300000</v>
      </c>
      <c r="F182" s="18">
        <f>F181-E182</f>
        <v>14355490</v>
      </c>
      <c r="G182" s="30"/>
    </row>
    <row r="183" spans="1:7" ht="15" customHeight="1" x14ac:dyDescent="0.2">
      <c r="A183" s="19">
        <v>157</v>
      </c>
      <c r="B183" s="58" t="s">
        <v>261</v>
      </c>
      <c r="C183" s="25" t="s">
        <v>262</v>
      </c>
      <c r="D183" s="18">
        <v>788000</v>
      </c>
      <c r="E183" s="18"/>
      <c r="F183" s="18">
        <f>F182+D183</f>
        <v>15143490</v>
      </c>
      <c r="G183" s="30"/>
    </row>
    <row r="184" spans="1:7" ht="15" customHeight="1" x14ac:dyDescent="0.2">
      <c r="A184" s="19">
        <v>158</v>
      </c>
      <c r="B184" s="58" t="s">
        <v>263</v>
      </c>
      <c r="C184" s="25" t="s">
        <v>264</v>
      </c>
      <c r="D184" s="18"/>
      <c r="E184" s="18">
        <v>300000</v>
      </c>
      <c r="F184" s="18">
        <f t="shared" ref="F184:F190" si="9">F183-E184</f>
        <v>14843490</v>
      </c>
      <c r="G184" s="30"/>
    </row>
    <row r="185" spans="1:7" ht="15" customHeight="1" x14ac:dyDescent="0.2">
      <c r="A185" s="19">
        <v>159</v>
      </c>
      <c r="B185" s="58" t="s">
        <v>265</v>
      </c>
      <c r="C185" s="25" t="s">
        <v>266</v>
      </c>
      <c r="D185" s="18"/>
      <c r="E185" s="18">
        <v>300000</v>
      </c>
      <c r="F185" s="18">
        <f t="shared" si="9"/>
        <v>14543490</v>
      </c>
      <c r="G185" s="30"/>
    </row>
    <row r="186" spans="1:7" ht="15" customHeight="1" x14ac:dyDescent="0.2">
      <c r="A186" s="19">
        <v>160</v>
      </c>
      <c r="B186" s="58" t="s">
        <v>265</v>
      </c>
      <c r="C186" s="25" t="s">
        <v>267</v>
      </c>
      <c r="D186" s="18"/>
      <c r="E186" s="18">
        <v>450000</v>
      </c>
      <c r="F186" s="18">
        <f t="shared" si="9"/>
        <v>14093490</v>
      </c>
      <c r="G186" s="30"/>
    </row>
    <row r="187" spans="1:7" ht="15" customHeight="1" x14ac:dyDescent="0.2">
      <c r="A187" s="19">
        <v>161</v>
      </c>
      <c r="B187" s="58" t="s">
        <v>265</v>
      </c>
      <c r="C187" s="25" t="s">
        <v>273</v>
      </c>
      <c r="D187" s="16"/>
      <c r="E187" s="16">
        <v>1000000</v>
      </c>
      <c r="F187" s="18">
        <f t="shared" si="9"/>
        <v>13093490</v>
      </c>
      <c r="G187" s="30"/>
    </row>
    <row r="188" spans="1:7" ht="15" customHeight="1" x14ac:dyDescent="0.2">
      <c r="A188" s="19">
        <v>162</v>
      </c>
      <c r="B188" s="58" t="s">
        <v>268</v>
      </c>
      <c r="C188" s="25" t="s">
        <v>272</v>
      </c>
      <c r="D188" s="16"/>
      <c r="E188" s="16">
        <v>450000</v>
      </c>
      <c r="F188" s="18">
        <f t="shared" si="9"/>
        <v>12643490</v>
      </c>
      <c r="G188" s="30"/>
    </row>
    <row r="189" spans="1:7" ht="15" customHeight="1" x14ac:dyDescent="0.2">
      <c r="A189" s="19">
        <v>163</v>
      </c>
      <c r="B189" s="58" t="s">
        <v>269</v>
      </c>
      <c r="C189" s="25" t="s">
        <v>274</v>
      </c>
      <c r="D189" s="16"/>
      <c r="E189" s="16">
        <v>300000</v>
      </c>
      <c r="F189" s="18">
        <f t="shared" si="9"/>
        <v>12343490</v>
      </c>
      <c r="G189" s="30"/>
    </row>
    <row r="190" spans="1:7" ht="15" customHeight="1" x14ac:dyDescent="0.2">
      <c r="A190" s="19">
        <v>164</v>
      </c>
      <c r="B190" s="58" t="s">
        <v>270</v>
      </c>
      <c r="C190" s="25" t="s">
        <v>275</v>
      </c>
      <c r="D190" s="16"/>
      <c r="E190" s="16">
        <v>300000</v>
      </c>
      <c r="F190" s="18">
        <f t="shared" si="9"/>
        <v>12043490</v>
      </c>
      <c r="G190" s="30"/>
    </row>
    <row r="191" spans="1:7" ht="15" customHeight="1" x14ac:dyDescent="0.2">
      <c r="A191" s="19">
        <v>155</v>
      </c>
      <c r="B191" s="14" t="s">
        <v>271</v>
      </c>
      <c r="C191" s="20" t="s">
        <v>276</v>
      </c>
      <c r="D191" s="16">
        <v>5976000</v>
      </c>
      <c r="E191" s="16"/>
      <c r="F191" s="18">
        <f>F190+D191</f>
        <v>18019490</v>
      </c>
      <c r="G191" s="30"/>
    </row>
    <row r="192" spans="1:7" ht="15" customHeight="1" x14ac:dyDescent="0.2">
      <c r="A192" s="19">
        <v>156</v>
      </c>
      <c r="B192" s="14" t="s">
        <v>277</v>
      </c>
      <c r="C192" s="25" t="s">
        <v>278</v>
      </c>
      <c r="D192" s="16"/>
      <c r="E192" s="16">
        <v>300000</v>
      </c>
      <c r="F192" s="18">
        <f t="shared" ref="F192:F201" si="10">F191-E192</f>
        <v>17719490</v>
      </c>
      <c r="G192" s="30"/>
    </row>
    <row r="193" spans="1:7" ht="15" customHeight="1" x14ac:dyDescent="0.2">
      <c r="A193" s="19">
        <v>157</v>
      </c>
      <c r="B193" s="14" t="s">
        <v>279</v>
      </c>
      <c r="C193" s="20" t="s">
        <v>280</v>
      </c>
      <c r="D193" s="16"/>
      <c r="E193" s="16">
        <v>450000</v>
      </c>
      <c r="F193" s="18">
        <f t="shared" si="10"/>
        <v>17269490</v>
      </c>
      <c r="G193" s="30"/>
    </row>
    <row r="194" spans="1:7" ht="15" customHeight="1" x14ac:dyDescent="0.2">
      <c r="A194" s="19">
        <v>158</v>
      </c>
      <c r="B194" s="14" t="s">
        <v>281</v>
      </c>
      <c r="C194" s="25" t="s">
        <v>282</v>
      </c>
      <c r="D194" s="16"/>
      <c r="E194" s="16">
        <v>300000</v>
      </c>
      <c r="F194" s="18">
        <f t="shared" si="10"/>
        <v>16969490</v>
      </c>
      <c r="G194" s="30"/>
    </row>
    <row r="195" spans="1:7" ht="15" customHeight="1" x14ac:dyDescent="0.2">
      <c r="A195" s="19">
        <v>159</v>
      </c>
      <c r="B195" s="14">
        <v>44442</v>
      </c>
      <c r="C195" s="25" t="s">
        <v>283</v>
      </c>
      <c r="D195" s="16"/>
      <c r="E195" s="16">
        <v>300000</v>
      </c>
      <c r="F195" s="18">
        <f t="shared" si="10"/>
        <v>16669490</v>
      </c>
      <c r="G195" s="30"/>
    </row>
    <row r="196" spans="1:7" ht="15" customHeight="1" x14ac:dyDescent="0.2">
      <c r="A196" s="19">
        <v>160</v>
      </c>
      <c r="B196" s="14">
        <v>44449</v>
      </c>
      <c r="C196" s="25" t="s">
        <v>284</v>
      </c>
      <c r="D196" s="16"/>
      <c r="E196" s="16">
        <v>300000</v>
      </c>
      <c r="F196" s="18">
        <f t="shared" si="10"/>
        <v>16369490</v>
      </c>
      <c r="G196" s="30"/>
    </row>
    <row r="197" spans="1:7" ht="15" customHeight="1" x14ac:dyDescent="0.2">
      <c r="A197" s="19">
        <v>161</v>
      </c>
      <c r="B197" s="14">
        <v>44456</v>
      </c>
      <c r="C197" s="25" t="s">
        <v>285</v>
      </c>
      <c r="D197" s="16"/>
      <c r="E197" s="16">
        <v>500000</v>
      </c>
      <c r="F197" s="18">
        <f t="shared" si="10"/>
        <v>15869490</v>
      </c>
      <c r="G197" s="30"/>
    </row>
    <row r="198" spans="1:7" ht="15" customHeight="1" x14ac:dyDescent="0.2">
      <c r="A198" s="19">
        <v>162</v>
      </c>
      <c r="B198" s="14">
        <v>44463</v>
      </c>
      <c r="C198" s="25" t="s">
        <v>286</v>
      </c>
      <c r="D198" s="16"/>
      <c r="E198" s="16">
        <v>300000</v>
      </c>
      <c r="F198" s="18">
        <f t="shared" si="10"/>
        <v>15569490</v>
      </c>
      <c r="G198" s="30"/>
    </row>
    <row r="199" spans="1:7" ht="15" customHeight="1" x14ac:dyDescent="0.2">
      <c r="A199" s="19">
        <v>163</v>
      </c>
      <c r="B199" s="14">
        <v>44464</v>
      </c>
      <c r="C199" s="25" t="s">
        <v>287</v>
      </c>
      <c r="D199" s="16"/>
      <c r="E199" s="16">
        <v>450000</v>
      </c>
      <c r="F199" s="18">
        <f t="shared" si="10"/>
        <v>15119490</v>
      </c>
      <c r="G199" s="30"/>
    </row>
    <row r="200" spans="1:7" ht="15" customHeight="1" x14ac:dyDescent="0.2">
      <c r="A200" s="19">
        <v>164</v>
      </c>
      <c r="B200" s="14">
        <v>44491</v>
      </c>
      <c r="C200" s="25" t="s">
        <v>290</v>
      </c>
      <c r="D200" s="16"/>
      <c r="E200" s="16">
        <v>3200000</v>
      </c>
      <c r="F200" s="18">
        <f t="shared" si="10"/>
        <v>11919490</v>
      </c>
      <c r="G200" s="30"/>
    </row>
    <row r="201" spans="1:7" ht="15" customHeight="1" x14ac:dyDescent="0.2">
      <c r="A201" s="19">
        <v>165</v>
      </c>
      <c r="B201" s="14">
        <v>44494</v>
      </c>
      <c r="C201" s="25" t="s">
        <v>288</v>
      </c>
      <c r="D201" s="16"/>
      <c r="E201" s="16">
        <v>450000</v>
      </c>
      <c r="F201" s="18">
        <f t="shared" si="10"/>
        <v>11469490</v>
      </c>
      <c r="G201" s="30"/>
    </row>
    <row r="202" spans="1:7" ht="15" customHeight="1" x14ac:dyDescent="0.2">
      <c r="A202" s="19">
        <v>166</v>
      </c>
      <c r="B202" s="14">
        <v>44507</v>
      </c>
      <c r="C202" s="27" t="s">
        <v>289</v>
      </c>
      <c r="D202" s="16">
        <v>300000</v>
      </c>
      <c r="E202" s="16"/>
      <c r="F202" s="18">
        <f>F201+D202</f>
        <v>11769490</v>
      </c>
      <c r="G202" s="30"/>
    </row>
    <row r="203" spans="1:7" ht="15" customHeight="1" x14ac:dyDescent="0.2">
      <c r="A203" s="19">
        <v>167</v>
      </c>
      <c r="B203" s="14">
        <v>44517</v>
      </c>
      <c r="C203" s="27" t="s">
        <v>293</v>
      </c>
      <c r="D203" s="16"/>
      <c r="E203" s="16">
        <v>800000</v>
      </c>
      <c r="F203" s="18">
        <f>F202-E203</f>
        <v>10969490</v>
      </c>
      <c r="G203" s="30"/>
    </row>
    <row r="204" spans="1:7" ht="15" customHeight="1" x14ac:dyDescent="0.2">
      <c r="A204" s="19">
        <v>168</v>
      </c>
      <c r="B204" s="14">
        <v>44525</v>
      </c>
      <c r="C204" s="27" t="s">
        <v>291</v>
      </c>
      <c r="D204" s="16"/>
      <c r="E204" s="16">
        <v>450000</v>
      </c>
      <c r="F204" s="18">
        <f>F203-E204</f>
        <v>10519490</v>
      </c>
      <c r="G204" s="30"/>
    </row>
    <row r="205" spans="1:7" ht="15" customHeight="1" x14ac:dyDescent="0.2">
      <c r="A205" s="19">
        <v>169</v>
      </c>
      <c r="B205" s="14">
        <v>44539</v>
      </c>
      <c r="C205" s="27" t="s">
        <v>292</v>
      </c>
      <c r="D205" s="16"/>
      <c r="E205" s="16">
        <v>1300000</v>
      </c>
      <c r="F205" s="18">
        <f>F204-E205</f>
        <v>9219490</v>
      </c>
      <c r="G205" s="30"/>
    </row>
    <row r="206" spans="1:7" ht="14.25" customHeight="1" x14ac:dyDescent="0.2">
      <c r="A206" s="19">
        <v>170</v>
      </c>
      <c r="B206" s="14">
        <v>44555</v>
      </c>
      <c r="C206" s="27" t="s">
        <v>294</v>
      </c>
      <c r="D206" s="16"/>
      <c r="E206" s="16">
        <v>450000</v>
      </c>
      <c r="F206" s="18">
        <f>F205-E206</f>
        <v>8769490</v>
      </c>
      <c r="G206" s="30"/>
    </row>
    <row r="207" spans="1:7" ht="14.25" customHeight="1" x14ac:dyDescent="0.2">
      <c r="A207" s="19">
        <v>171</v>
      </c>
      <c r="B207" s="14">
        <v>44571</v>
      </c>
      <c r="C207" s="27" t="s">
        <v>295</v>
      </c>
      <c r="D207" s="16"/>
      <c r="E207" s="16">
        <v>1700000</v>
      </c>
      <c r="F207" s="18">
        <f>F206-E207</f>
        <v>7069490</v>
      </c>
      <c r="G207" s="30"/>
    </row>
    <row r="208" spans="1:7" ht="14.25" customHeight="1" x14ac:dyDescent="0.2">
      <c r="A208" s="19">
        <v>172</v>
      </c>
      <c r="B208" s="14" t="s">
        <v>300</v>
      </c>
      <c r="C208" s="27" t="s">
        <v>301</v>
      </c>
      <c r="D208" s="16">
        <v>8000000</v>
      </c>
      <c r="E208" s="16"/>
      <c r="F208" s="18">
        <f>F207+D208</f>
        <v>15069490</v>
      </c>
      <c r="G208" s="30"/>
    </row>
    <row r="209" spans="1:7" ht="14.25" customHeight="1" x14ac:dyDescent="0.2">
      <c r="A209" s="19">
        <v>173</v>
      </c>
      <c r="B209" s="14" t="s">
        <v>296</v>
      </c>
      <c r="C209" s="27" t="s">
        <v>297</v>
      </c>
      <c r="D209" s="16"/>
      <c r="E209" s="16">
        <v>364600</v>
      </c>
      <c r="F209" s="18">
        <f t="shared" ref="F209:F215" si="11">F208-E209</f>
        <v>14704890</v>
      </c>
      <c r="G209" s="30"/>
    </row>
    <row r="210" spans="1:7" ht="14.25" customHeight="1" x14ac:dyDescent="0.2">
      <c r="A210" s="19">
        <v>174</v>
      </c>
      <c r="B210" s="14" t="s">
        <v>298</v>
      </c>
      <c r="C210" s="27" t="s">
        <v>299</v>
      </c>
      <c r="D210" s="16"/>
      <c r="E210" s="16">
        <v>450000</v>
      </c>
      <c r="F210" s="18">
        <f t="shared" si="11"/>
        <v>14254890</v>
      </c>
      <c r="G210" s="30"/>
    </row>
    <row r="211" spans="1:7" ht="14.25" customHeight="1" x14ac:dyDescent="0.2">
      <c r="A211" s="19">
        <v>175</v>
      </c>
      <c r="B211" s="14" t="s">
        <v>302</v>
      </c>
      <c r="C211" s="27" t="s">
        <v>303</v>
      </c>
      <c r="D211" s="16"/>
      <c r="E211" s="16">
        <v>800000</v>
      </c>
      <c r="F211" s="18">
        <f t="shared" si="11"/>
        <v>13454890</v>
      </c>
      <c r="G211" s="30"/>
    </row>
    <row r="212" spans="1:7" ht="14.25" customHeight="1" x14ac:dyDescent="0.2">
      <c r="A212" s="19">
        <v>176</v>
      </c>
      <c r="B212" s="14" t="s">
        <v>304</v>
      </c>
      <c r="C212" s="27" t="s">
        <v>305</v>
      </c>
      <c r="D212" s="16"/>
      <c r="E212" s="16">
        <v>1500000</v>
      </c>
      <c r="F212" s="18">
        <f t="shared" si="11"/>
        <v>11954890</v>
      </c>
      <c r="G212" s="30"/>
    </row>
    <row r="213" spans="1:7" ht="14.25" customHeight="1" x14ac:dyDescent="0.2">
      <c r="A213" s="19">
        <v>177</v>
      </c>
      <c r="B213" s="14" t="s">
        <v>306</v>
      </c>
      <c r="C213" s="27" t="s">
        <v>311</v>
      </c>
      <c r="D213" s="16"/>
      <c r="E213" s="16">
        <v>450000</v>
      </c>
      <c r="F213" s="18">
        <f t="shared" si="11"/>
        <v>11504890</v>
      </c>
      <c r="G213" s="30"/>
    </row>
    <row r="214" spans="1:7" ht="14.25" customHeight="1" x14ac:dyDescent="0.2">
      <c r="A214" s="19">
        <v>178</v>
      </c>
      <c r="B214" s="14" t="s">
        <v>307</v>
      </c>
      <c r="C214" s="27" t="s">
        <v>80</v>
      </c>
      <c r="D214" s="16"/>
      <c r="E214" s="16">
        <v>1000000</v>
      </c>
      <c r="F214" s="18">
        <f t="shared" si="11"/>
        <v>10504890</v>
      </c>
      <c r="G214" s="30"/>
    </row>
    <row r="215" spans="1:7" ht="14.25" customHeight="1" x14ac:dyDescent="0.2">
      <c r="A215" s="19">
        <v>179</v>
      </c>
      <c r="B215" s="14" t="s">
        <v>308</v>
      </c>
      <c r="C215" s="27" t="s">
        <v>309</v>
      </c>
      <c r="D215" s="16"/>
      <c r="E215" s="16">
        <v>1000000</v>
      </c>
      <c r="F215" s="18">
        <f t="shared" si="11"/>
        <v>9504890</v>
      </c>
      <c r="G215" s="30"/>
    </row>
    <row r="216" spans="1:7" ht="14.25" customHeight="1" x14ac:dyDescent="0.2">
      <c r="A216" s="19">
        <v>180</v>
      </c>
      <c r="B216" s="14" t="s">
        <v>308</v>
      </c>
      <c r="C216" s="27" t="s">
        <v>310</v>
      </c>
      <c r="D216" s="16">
        <v>7115500</v>
      </c>
      <c r="E216" s="16"/>
      <c r="F216" s="18">
        <f>F215+D216</f>
        <v>16620390</v>
      </c>
      <c r="G216" s="30"/>
    </row>
    <row r="217" spans="1:7" ht="17" x14ac:dyDescent="0.2">
      <c r="A217" s="19">
        <v>181</v>
      </c>
      <c r="B217" s="14" t="s">
        <v>318</v>
      </c>
      <c r="C217" s="27" t="s">
        <v>312</v>
      </c>
      <c r="D217" s="16"/>
      <c r="E217" s="16">
        <v>150000</v>
      </c>
      <c r="F217" s="18">
        <f>F216-E217</f>
        <v>16470390</v>
      </c>
      <c r="G217" s="30"/>
    </row>
    <row r="218" spans="1:7" ht="14.25" customHeight="1" x14ac:dyDescent="0.2">
      <c r="A218" s="19">
        <v>182</v>
      </c>
      <c r="B218" s="14" t="s">
        <v>319</v>
      </c>
      <c r="C218" s="27" t="s">
        <v>313</v>
      </c>
      <c r="D218" s="16"/>
      <c r="E218" s="16">
        <v>350000</v>
      </c>
      <c r="F218" s="18">
        <f t="shared" ref="F218:F228" si="12">F217-E218</f>
        <v>16120390</v>
      </c>
      <c r="G218" s="30"/>
    </row>
    <row r="219" spans="1:7" ht="14.25" customHeight="1" x14ac:dyDescent="0.2">
      <c r="A219" s="19">
        <v>183</v>
      </c>
      <c r="B219" s="14" t="s">
        <v>320</v>
      </c>
      <c r="C219" s="27" t="s">
        <v>314</v>
      </c>
      <c r="D219" s="16"/>
      <c r="E219" s="16">
        <v>1420000</v>
      </c>
      <c r="F219" s="18">
        <f t="shared" si="12"/>
        <v>14700390</v>
      </c>
      <c r="G219" s="30"/>
    </row>
    <row r="220" spans="1:7" ht="14.25" customHeight="1" x14ac:dyDescent="0.2">
      <c r="A220" s="19">
        <v>184</v>
      </c>
      <c r="B220" s="14" t="s">
        <v>321</v>
      </c>
      <c r="C220" s="27" t="s">
        <v>315</v>
      </c>
      <c r="D220" s="16"/>
      <c r="E220" s="16">
        <v>300000</v>
      </c>
      <c r="F220" s="18">
        <f t="shared" si="12"/>
        <v>14400390</v>
      </c>
      <c r="G220" s="30"/>
    </row>
    <row r="221" spans="1:7" ht="14.25" customHeight="1" x14ac:dyDescent="0.2">
      <c r="A221" s="19">
        <v>185</v>
      </c>
      <c r="B221" s="14" t="s">
        <v>321</v>
      </c>
      <c r="C221" s="27" t="s">
        <v>316</v>
      </c>
      <c r="D221" s="16"/>
      <c r="E221" s="16">
        <v>825000</v>
      </c>
      <c r="F221" s="18">
        <f t="shared" si="12"/>
        <v>13575390</v>
      </c>
      <c r="G221" s="30"/>
    </row>
    <row r="222" spans="1:7" ht="14.25" customHeight="1" x14ac:dyDescent="0.2">
      <c r="A222" s="19">
        <v>186</v>
      </c>
      <c r="B222" s="14" t="s">
        <v>322</v>
      </c>
      <c r="C222" s="27" t="s">
        <v>317</v>
      </c>
      <c r="D222" s="16"/>
      <c r="E222" s="16">
        <v>500000</v>
      </c>
      <c r="F222" s="18">
        <f t="shared" si="12"/>
        <v>13075390</v>
      </c>
      <c r="G222" s="30"/>
    </row>
    <row r="223" spans="1:7" ht="14.25" customHeight="1" x14ac:dyDescent="0.2">
      <c r="A223" s="19">
        <v>187</v>
      </c>
      <c r="B223" s="14" t="s">
        <v>322</v>
      </c>
      <c r="C223" s="27" t="s">
        <v>325</v>
      </c>
      <c r="D223" s="16"/>
      <c r="E223" s="16">
        <v>1500000</v>
      </c>
      <c r="F223" s="18">
        <f t="shared" si="12"/>
        <v>11575390</v>
      </c>
      <c r="G223" s="30"/>
    </row>
    <row r="224" spans="1:7" ht="14.25" customHeight="1" x14ac:dyDescent="0.2">
      <c r="A224" s="19">
        <v>188</v>
      </c>
      <c r="B224" s="14" t="s">
        <v>323</v>
      </c>
      <c r="C224" s="27" t="s">
        <v>324</v>
      </c>
      <c r="D224" s="16"/>
      <c r="E224" s="16">
        <v>450000</v>
      </c>
      <c r="F224" s="18">
        <f t="shared" si="12"/>
        <v>11125390</v>
      </c>
      <c r="G224" s="30"/>
    </row>
    <row r="225" spans="1:7" ht="14.25" customHeight="1" x14ac:dyDescent="0.2">
      <c r="A225" s="19">
        <v>189</v>
      </c>
      <c r="B225" s="14">
        <v>44652</v>
      </c>
      <c r="C225" s="27" t="s">
        <v>327</v>
      </c>
      <c r="D225" s="16"/>
      <c r="E225" s="16">
        <v>950000</v>
      </c>
      <c r="F225" s="18">
        <f t="shared" si="12"/>
        <v>10175390</v>
      </c>
      <c r="G225" s="30"/>
    </row>
    <row r="226" spans="1:7" ht="14.25" customHeight="1" x14ac:dyDescent="0.2">
      <c r="A226" s="19">
        <v>190</v>
      </c>
      <c r="B226" s="14">
        <v>44652</v>
      </c>
      <c r="C226" s="27" t="s">
        <v>328</v>
      </c>
      <c r="D226" s="16"/>
      <c r="E226" s="16">
        <v>500000</v>
      </c>
      <c r="F226" s="18">
        <f t="shared" si="12"/>
        <v>9675390</v>
      </c>
      <c r="G226" s="30"/>
    </row>
    <row r="227" spans="1:7" ht="14.25" customHeight="1" x14ac:dyDescent="0.2">
      <c r="A227" s="19">
        <v>191</v>
      </c>
      <c r="B227" s="14">
        <v>44653</v>
      </c>
      <c r="C227" s="27" t="s">
        <v>326</v>
      </c>
      <c r="D227" s="16"/>
      <c r="E227" s="16">
        <v>500000</v>
      </c>
      <c r="F227" s="18">
        <f t="shared" si="12"/>
        <v>9175390</v>
      </c>
      <c r="G227" s="30"/>
    </row>
    <row r="228" spans="1:7" ht="14.25" customHeight="1" x14ac:dyDescent="0.2">
      <c r="A228" s="19">
        <v>192</v>
      </c>
      <c r="B228" s="14">
        <v>44654</v>
      </c>
      <c r="C228" s="27" t="s">
        <v>326</v>
      </c>
      <c r="D228" s="16"/>
      <c r="E228" s="16">
        <v>700000</v>
      </c>
      <c r="F228" s="18">
        <f t="shared" si="12"/>
        <v>8475390</v>
      </c>
      <c r="G228" s="30"/>
    </row>
    <row r="229" spans="1:7" ht="14.25" customHeight="1" x14ac:dyDescent="0.2">
      <c r="A229" s="19">
        <v>193</v>
      </c>
      <c r="B229" s="14">
        <v>44657</v>
      </c>
      <c r="C229" s="27" t="s">
        <v>329</v>
      </c>
      <c r="D229" s="16">
        <v>3972000</v>
      </c>
      <c r="E229" s="16"/>
      <c r="F229" s="18">
        <f>F228+D229</f>
        <v>12447390</v>
      </c>
      <c r="G229" s="30"/>
    </row>
    <row r="230" spans="1:7" ht="14.25" customHeight="1" x14ac:dyDescent="0.2">
      <c r="A230" s="19">
        <v>194</v>
      </c>
      <c r="B230" s="14">
        <v>44659</v>
      </c>
      <c r="C230" s="27" t="s">
        <v>328</v>
      </c>
      <c r="D230" s="16"/>
      <c r="E230" s="16">
        <v>300000</v>
      </c>
      <c r="F230" s="18">
        <f t="shared" ref="F230:F235" si="13">F229-E230</f>
        <v>12147390</v>
      </c>
      <c r="G230" s="30"/>
    </row>
    <row r="231" spans="1:7" ht="14.25" customHeight="1" x14ac:dyDescent="0.2">
      <c r="A231" s="19">
        <v>195</v>
      </c>
      <c r="B231" s="14">
        <v>44660</v>
      </c>
      <c r="C231" s="27" t="s">
        <v>326</v>
      </c>
      <c r="D231" s="16"/>
      <c r="E231" s="16">
        <v>700000</v>
      </c>
      <c r="F231" s="18">
        <f t="shared" si="13"/>
        <v>11447390</v>
      </c>
      <c r="G231" s="30"/>
    </row>
    <row r="232" spans="1:7" ht="14.25" customHeight="1" x14ac:dyDescent="0.2">
      <c r="A232" s="19">
        <v>196</v>
      </c>
      <c r="B232" s="14">
        <v>44661</v>
      </c>
      <c r="C232" s="27" t="s">
        <v>326</v>
      </c>
      <c r="D232" s="16"/>
      <c r="E232" s="16">
        <v>700000</v>
      </c>
      <c r="F232" s="18">
        <f t="shared" si="13"/>
        <v>10747390</v>
      </c>
      <c r="G232" s="30"/>
    </row>
    <row r="233" spans="1:7" ht="14.25" customHeight="1" x14ac:dyDescent="0.2">
      <c r="A233" s="19">
        <v>197</v>
      </c>
      <c r="B233" s="14">
        <v>44666</v>
      </c>
      <c r="C233" s="27" t="s">
        <v>328</v>
      </c>
      <c r="D233" s="16"/>
      <c r="E233" s="16">
        <v>300000</v>
      </c>
      <c r="F233" s="18">
        <f t="shared" si="13"/>
        <v>10447390</v>
      </c>
      <c r="G233" s="30"/>
    </row>
    <row r="234" spans="1:7" ht="14.25" customHeight="1" x14ac:dyDescent="0.2">
      <c r="A234" s="19">
        <v>198</v>
      </c>
      <c r="B234" s="14">
        <v>44667</v>
      </c>
      <c r="C234" s="27" t="s">
        <v>326</v>
      </c>
      <c r="D234" s="16"/>
      <c r="E234" s="16">
        <v>700000</v>
      </c>
      <c r="F234" s="18">
        <f t="shared" si="13"/>
        <v>9747390</v>
      </c>
      <c r="G234" s="30"/>
    </row>
    <row r="235" spans="1:7" ht="14.25" customHeight="1" x14ac:dyDescent="0.2">
      <c r="A235" s="19">
        <v>199</v>
      </c>
      <c r="B235" s="14">
        <v>44668</v>
      </c>
      <c r="C235" s="27" t="s">
        <v>326</v>
      </c>
      <c r="D235" s="16"/>
      <c r="E235" s="16">
        <v>700000</v>
      </c>
      <c r="F235" s="18">
        <f t="shared" si="13"/>
        <v>9047390</v>
      </c>
      <c r="G235" s="30"/>
    </row>
    <row r="236" spans="1:7" ht="14.25" customHeight="1" x14ac:dyDescent="0.2">
      <c r="A236" s="19">
        <v>200</v>
      </c>
      <c r="B236" s="14">
        <v>44668</v>
      </c>
      <c r="C236" s="27" t="s">
        <v>329</v>
      </c>
      <c r="D236" s="16">
        <v>4014500</v>
      </c>
      <c r="E236" s="16"/>
      <c r="F236" s="18">
        <f>F235+D236</f>
        <v>13061890</v>
      </c>
      <c r="G236" s="30"/>
    </row>
    <row r="237" spans="1:7" ht="14.25" customHeight="1" x14ac:dyDescent="0.2">
      <c r="A237" s="19">
        <v>201</v>
      </c>
      <c r="B237" s="14">
        <v>44670</v>
      </c>
      <c r="C237" s="27" t="s">
        <v>330</v>
      </c>
      <c r="D237" s="16"/>
      <c r="E237" s="16">
        <v>1558500</v>
      </c>
      <c r="F237" s="18">
        <f t="shared" ref="F237:F242" si="14">F236-E237</f>
        <v>11503390</v>
      </c>
      <c r="G237" s="30"/>
    </row>
    <row r="238" spans="1:7" ht="14.25" customHeight="1" x14ac:dyDescent="0.2">
      <c r="A238" s="19">
        <v>202</v>
      </c>
      <c r="B238" s="14">
        <v>44673</v>
      </c>
      <c r="C238" s="27" t="s">
        <v>328</v>
      </c>
      <c r="D238" s="16"/>
      <c r="E238" s="16">
        <v>300000</v>
      </c>
      <c r="F238" s="18">
        <f t="shared" si="14"/>
        <v>11203390</v>
      </c>
      <c r="G238" s="30"/>
    </row>
    <row r="239" spans="1:7" ht="14.25" customHeight="1" x14ac:dyDescent="0.2">
      <c r="A239" s="19">
        <v>203</v>
      </c>
      <c r="B239" s="14">
        <v>44673</v>
      </c>
      <c r="C239" s="27" t="s">
        <v>331</v>
      </c>
      <c r="D239" s="16"/>
      <c r="E239" s="16">
        <v>2150000</v>
      </c>
      <c r="F239" s="18">
        <f t="shared" si="14"/>
        <v>9053390</v>
      </c>
      <c r="G239" s="30"/>
    </row>
    <row r="240" spans="1:7" ht="14.25" customHeight="1" x14ac:dyDescent="0.2">
      <c r="A240" s="19">
        <v>204</v>
      </c>
      <c r="B240" s="14">
        <v>44674</v>
      </c>
      <c r="C240" s="27" t="s">
        <v>326</v>
      </c>
      <c r="D240" s="16"/>
      <c r="E240" s="16">
        <v>700000</v>
      </c>
      <c r="F240" s="18">
        <f t="shared" si="14"/>
        <v>8353390</v>
      </c>
      <c r="G240" s="30"/>
    </row>
    <row r="241" spans="1:7" ht="14.25" customHeight="1" x14ac:dyDescent="0.2">
      <c r="A241" s="19">
        <v>205</v>
      </c>
      <c r="B241" s="14">
        <v>44675</v>
      </c>
      <c r="C241" s="27" t="s">
        <v>326</v>
      </c>
      <c r="D241" s="16"/>
      <c r="E241" s="16">
        <v>700000</v>
      </c>
      <c r="F241" s="18">
        <f t="shared" si="14"/>
        <v>7653390</v>
      </c>
      <c r="G241" s="30"/>
    </row>
    <row r="242" spans="1:7" ht="14.25" customHeight="1" x14ac:dyDescent="0.2">
      <c r="A242" s="19">
        <v>206</v>
      </c>
      <c r="B242" s="14">
        <v>44676</v>
      </c>
      <c r="C242" s="27" t="s">
        <v>332</v>
      </c>
      <c r="D242" s="16"/>
      <c r="E242" s="16">
        <v>900000</v>
      </c>
      <c r="F242" s="18">
        <f t="shared" si="14"/>
        <v>6753390</v>
      </c>
      <c r="G242" s="30"/>
    </row>
    <row r="243" spans="1:7" ht="14.25" customHeight="1" x14ac:dyDescent="0.2">
      <c r="A243" s="19">
        <v>207</v>
      </c>
      <c r="B243" s="14">
        <v>44680</v>
      </c>
      <c r="C243" s="27" t="s">
        <v>328</v>
      </c>
      <c r="D243" s="16"/>
      <c r="E243" s="16">
        <v>500000</v>
      </c>
      <c r="F243" s="18">
        <f>F242-E243</f>
        <v>6253390</v>
      </c>
      <c r="G243" s="30"/>
    </row>
    <row r="244" spans="1:7" ht="14.25" customHeight="1" x14ac:dyDescent="0.2">
      <c r="A244" s="19">
        <v>208</v>
      </c>
      <c r="B244" s="14">
        <v>44681</v>
      </c>
      <c r="C244" s="27" t="s">
        <v>333</v>
      </c>
      <c r="D244" s="16"/>
      <c r="E244" s="16">
        <v>1750000</v>
      </c>
      <c r="F244" s="18">
        <f>F243-E244</f>
        <v>4503390</v>
      </c>
      <c r="G244" s="30"/>
    </row>
    <row r="245" spans="1:7" ht="14.25" customHeight="1" x14ac:dyDescent="0.2">
      <c r="A245" s="19">
        <v>209</v>
      </c>
      <c r="B245" s="14">
        <v>44682</v>
      </c>
      <c r="C245" s="27" t="s">
        <v>334</v>
      </c>
      <c r="D245" s="16"/>
      <c r="E245" s="16">
        <v>1500000</v>
      </c>
      <c r="F245" s="18">
        <f>F244-E245</f>
        <v>3003390</v>
      </c>
      <c r="G245" s="30"/>
    </row>
    <row r="246" spans="1:7" ht="14.25" customHeight="1" x14ac:dyDescent="0.2">
      <c r="A246" s="19">
        <v>210</v>
      </c>
      <c r="B246" s="14">
        <v>44684</v>
      </c>
      <c r="C246" s="27" t="s">
        <v>328</v>
      </c>
      <c r="D246" s="16"/>
      <c r="E246" s="16">
        <v>300000</v>
      </c>
      <c r="F246" s="18">
        <f>F245-E246</f>
        <v>2703390</v>
      </c>
      <c r="G246" s="30"/>
    </row>
    <row r="247" spans="1:7" ht="14.25" customHeight="1" x14ac:dyDescent="0.2">
      <c r="A247" s="19">
        <v>211</v>
      </c>
      <c r="B247" s="14">
        <v>44706</v>
      </c>
      <c r="C247" s="27" t="s">
        <v>335</v>
      </c>
      <c r="D247" s="16"/>
      <c r="E247" s="16">
        <v>450000</v>
      </c>
      <c r="F247" s="18">
        <f>F246+D247-E247</f>
        <v>2253390</v>
      </c>
      <c r="G247" s="30"/>
    </row>
    <row r="248" spans="1:7" ht="14.25" customHeight="1" x14ac:dyDescent="0.2">
      <c r="A248" s="19">
        <v>212</v>
      </c>
      <c r="B248" s="14">
        <v>44710</v>
      </c>
      <c r="C248" s="27" t="s">
        <v>336</v>
      </c>
      <c r="D248" s="16">
        <v>1500000</v>
      </c>
      <c r="E248" s="16"/>
      <c r="F248" s="18">
        <f t="shared" ref="F248:F311" si="15">F247+D248-E248</f>
        <v>3753390</v>
      </c>
      <c r="G248" s="30"/>
    </row>
    <row r="249" spans="1:7" ht="14.25" customHeight="1" x14ac:dyDescent="0.2">
      <c r="A249" s="19">
        <v>213</v>
      </c>
      <c r="B249" s="14">
        <v>44719</v>
      </c>
      <c r="C249" s="27" t="s">
        <v>337</v>
      </c>
      <c r="D249" s="16"/>
      <c r="E249" s="16">
        <v>1500000</v>
      </c>
      <c r="F249" s="18">
        <f t="shared" si="15"/>
        <v>2253390</v>
      </c>
      <c r="G249" s="30"/>
    </row>
    <row r="250" spans="1:7" ht="14.25" customHeight="1" x14ac:dyDescent="0.2">
      <c r="A250" s="19">
        <v>214</v>
      </c>
      <c r="B250" s="14">
        <v>44722</v>
      </c>
      <c r="C250" s="27" t="s">
        <v>338</v>
      </c>
      <c r="D250" s="16"/>
      <c r="E250" s="16">
        <v>550000</v>
      </c>
      <c r="F250" s="18">
        <f t="shared" si="15"/>
        <v>1703390</v>
      </c>
      <c r="G250" s="30"/>
    </row>
    <row r="251" spans="1:7" ht="14.25" customHeight="1" x14ac:dyDescent="0.2">
      <c r="A251" s="19">
        <v>215</v>
      </c>
      <c r="B251" s="14">
        <v>44722</v>
      </c>
      <c r="C251" s="27" t="s">
        <v>339</v>
      </c>
      <c r="D251" s="16">
        <v>1839000</v>
      </c>
      <c r="E251" s="16"/>
      <c r="F251" s="18">
        <f t="shared" si="15"/>
        <v>3542390</v>
      </c>
      <c r="G251" s="30"/>
    </row>
    <row r="252" spans="1:7" ht="14.25" customHeight="1" x14ac:dyDescent="0.2">
      <c r="A252" s="19">
        <v>216</v>
      </c>
      <c r="B252" s="14">
        <v>44723</v>
      </c>
      <c r="C252" s="29" t="s">
        <v>342</v>
      </c>
      <c r="D252" s="16">
        <v>4536000</v>
      </c>
      <c r="E252" s="16"/>
      <c r="F252" s="18">
        <f t="shared" si="15"/>
        <v>8078390</v>
      </c>
      <c r="G252" s="30"/>
    </row>
    <row r="253" spans="1:7" ht="14.25" customHeight="1" x14ac:dyDescent="0.2">
      <c r="A253" s="19">
        <v>217</v>
      </c>
      <c r="B253" s="14">
        <v>44737</v>
      </c>
      <c r="C253" s="28" t="s">
        <v>340</v>
      </c>
      <c r="D253" s="16"/>
      <c r="E253" s="16">
        <v>600000</v>
      </c>
      <c r="F253" s="18">
        <f t="shared" si="15"/>
        <v>7478390</v>
      </c>
      <c r="G253" s="30"/>
    </row>
    <row r="254" spans="1:7" ht="14.25" customHeight="1" x14ac:dyDescent="0.2">
      <c r="A254" s="19">
        <v>218</v>
      </c>
      <c r="B254" s="14">
        <v>44743</v>
      </c>
      <c r="C254" s="27" t="s">
        <v>336</v>
      </c>
      <c r="D254" s="16">
        <v>600000</v>
      </c>
      <c r="E254" s="16"/>
      <c r="F254" s="18">
        <f t="shared" si="15"/>
        <v>8078390</v>
      </c>
      <c r="G254" s="30"/>
    </row>
    <row r="255" spans="1:7" ht="14.25" customHeight="1" x14ac:dyDescent="0.2">
      <c r="A255" s="19">
        <v>219</v>
      </c>
      <c r="B255" s="14">
        <v>44749</v>
      </c>
      <c r="C255" s="27" t="s">
        <v>341</v>
      </c>
      <c r="D255" s="16"/>
      <c r="E255" s="16">
        <v>1300000</v>
      </c>
      <c r="F255" s="18">
        <f t="shared" si="15"/>
        <v>6778390</v>
      </c>
      <c r="G255" s="30"/>
    </row>
    <row r="256" spans="1:7" ht="14.25" customHeight="1" x14ac:dyDescent="0.2">
      <c r="A256" s="19">
        <v>220</v>
      </c>
      <c r="B256" s="14">
        <v>44750</v>
      </c>
      <c r="C256" s="28" t="s">
        <v>343</v>
      </c>
      <c r="D256" s="16"/>
      <c r="E256" s="16">
        <v>200000</v>
      </c>
      <c r="F256" s="18">
        <f t="shared" si="15"/>
        <v>6578390</v>
      </c>
      <c r="G256" s="30"/>
    </row>
    <row r="257" spans="1:7" ht="14.25" customHeight="1" x14ac:dyDescent="0.2">
      <c r="A257" s="19">
        <v>221</v>
      </c>
      <c r="B257" s="14">
        <v>44751</v>
      </c>
      <c r="C257" s="27" t="s">
        <v>344</v>
      </c>
      <c r="D257" s="16">
        <v>2499000</v>
      </c>
      <c r="E257" s="16"/>
      <c r="F257" s="18">
        <f t="shared" si="15"/>
        <v>9077390</v>
      </c>
      <c r="G257" s="30"/>
    </row>
    <row r="258" spans="1:7" ht="14.25" customHeight="1" x14ac:dyDescent="0.2">
      <c r="A258" s="19">
        <v>222</v>
      </c>
      <c r="B258" s="14">
        <v>44752</v>
      </c>
      <c r="C258" s="27" t="s">
        <v>345</v>
      </c>
      <c r="D258" s="16">
        <v>2117000</v>
      </c>
      <c r="E258" s="16"/>
      <c r="F258" s="18">
        <f t="shared" si="15"/>
        <v>11194390</v>
      </c>
      <c r="G258" s="30"/>
    </row>
    <row r="259" spans="1:7" ht="14.25" customHeight="1" x14ac:dyDescent="0.2">
      <c r="A259" s="19">
        <v>223</v>
      </c>
      <c r="B259" s="14">
        <v>44753</v>
      </c>
      <c r="C259" s="27" t="s">
        <v>346</v>
      </c>
      <c r="D259" s="16"/>
      <c r="E259" s="16">
        <v>1000000</v>
      </c>
      <c r="F259" s="18">
        <f t="shared" si="15"/>
        <v>10194390</v>
      </c>
      <c r="G259" s="30"/>
    </row>
    <row r="260" spans="1:7" ht="14.25" customHeight="1" x14ac:dyDescent="0.2">
      <c r="A260" s="19">
        <v>224</v>
      </c>
      <c r="B260" s="14">
        <v>44770</v>
      </c>
      <c r="C260" s="27" t="s">
        <v>347</v>
      </c>
      <c r="D260" s="16"/>
      <c r="E260" s="16">
        <v>1245000</v>
      </c>
      <c r="F260" s="18">
        <f t="shared" si="15"/>
        <v>8949390</v>
      </c>
      <c r="G260" s="30"/>
    </row>
    <row r="261" spans="1:7" ht="14.25" customHeight="1" x14ac:dyDescent="0.2">
      <c r="A261" s="19">
        <v>225</v>
      </c>
      <c r="B261" s="14">
        <v>44771</v>
      </c>
      <c r="C261" s="27" t="s">
        <v>143</v>
      </c>
      <c r="D261" s="16"/>
      <c r="E261" s="16">
        <v>600000</v>
      </c>
      <c r="F261" s="18">
        <f t="shared" si="15"/>
        <v>8349390</v>
      </c>
      <c r="G261" s="30"/>
    </row>
    <row r="262" spans="1:7" ht="14.25" customHeight="1" x14ac:dyDescent="0.2">
      <c r="A262" s="19">
        <v>226</v>
      </c>
      <c r="B262" s="14">
        <v>44781</v>
      </c>
      <c r="C262" s="27" t="s">
        <v>348</v>
      </c>
      <c r="D262" s="16"/>
      <c r="E262" s="16">
        <v>850000</v>
      </c>
      <c r="F262" s="18">
        <f t="shared" si="15"/>
        <v>7499390</v>
      </c>
      <c r="G262" s="30"/>
    </row>
    <row r="263" spans="1:7" ht="14.25" customHeight="1" x14ac:dyDescent="0.2">
      <c r="A263" s="19">
        <v>227</v>
      </c>
      <c r="B263" s="14">
        <v>44786</v>
      </c>
      <c r="C263" s="27" t="s">
        <v>350</v>
      </c>
      <c r="D263" s="16">
        <v>3993000</v>
      </c>
      <c r="E263" s="16"/>
      <c r="F263" s="18">
        <f t="shared" si="15"/>
        <v>11492390</v>
      </c>
      <c r="G263" s="30"/>
    </row>
    <row r="264" spans="1:7" ht="14.25" customHeight="1" x14ac:dyDescent="0.2">
      <c r="A264" s="19">
        <v>228</v>
      </c>
      <c r="B264" s="14">
        <v>44798</v>
      </c>
      <c r="C264" s="27" t="s">
        <v>349</v>
      </c>
      <c r="D264" s="16"/>
      <c r="E264" s="16">
        <v>600000</v>
      </c>
      <c r="F264" s="18">
        <f t="shared" si="15"/>
        <v>10892390</v>
      </c>
      <c r="G264" s="30"/>
    </row>
    <row r="265" spans="1:7" ht="14.25" customHeight="1" x14ac:dyDescent="0.2">
      <c r="A265" s="19">
        <v>229</v>
      </c>
      <c r="B265" s="14">
        <v>44806</v>
      </c>
      <c r="C265" s="27" t="s">
        <v>351</v>
      </c>
      <c r="D265" s="16"/>
      <c r="E265" s="16">
        <v>1000000</v>
      </c>
      <c r="F265" s="18">
        <f t="shared" si="15"/>
        <v>9892390</v>
      </c>
      <c r="G265" s="30"/>
    </row>
    <row r="266" spans="1:7" ht="14.25" customHeight="1" x14ac:dyDescent="0.2">
      <c r="A266" s="19">
        <v>230</v>
      </c>
      <c r="B266" s="14">
        <v>44810</v>
      </c>
      <c r="C266" s="27" t="s">
        <v>352</v>
      </c>
      <c r="D266" s="16"/>
      <c r="E266" s="16">
        <v>900000</v>
      </c>
      <c r="F266" s="18">
        <f t="shared" si="15"/>
        <v>8992390</v>
      </c>
      <c r="G266" s="30"/>
    </row>
    <row r="267" spans="1:7" ht="14.25" customHeight="1" x14ac:dyDescent="0.2">
      <c r="A267" s="19">
        <v>231</v>
      </c>
      <c r="B267" s="14">
        <v>44828</v>
      </c>
      <c r="C267" s="27" t="s">
        <v>353</v>
      </c>
      <c r="D267" s="16"/>
      <c r="E267" s="16">
        <v>300000</v>
      </c>
      <c r="F267" s="18">
        <f t="shared" si="15"/>
        <v>8692390</v>
      </c>
      <c r="G267" s="30"/>
    </row>
    <row r="268" spans="1:7" ht="14.25" customHeight="1" x14ac:dyDescent="0.2">
      <c r="A268" s="19">
        <v>232</v>
      </c>
      <c r="B268" s="14">
        <v>44829</v>
      </c>
      <c r="C268" s="27" t="s">
        <v>354</v>
      </c>
      <c r="D268" s="16"/>
      <c r="E268" s="16">
        <v>600000</v>
      </c>
      <c r="F268" s="18">
        <f t="shared" si="15"/>
        <v>8092390</v>
      </c>
      <c r="G268" s="30"/>
    </row>
    <row r="269" spans="1:7" ht="14.25" customHeight="1" x14ac:dyDescent="0.2">
      <c r="A269" s="19">
        <v>233</v>
      </c>
      <c r="B269" s="14">
        <v>44836</v>
      </c>
      <c r="C269" s="27" t="s">
        <v>356</v>
      </c>
      <c r="D269" s="16"/>
      <c r="E269" s="16">
        <v>1150000</v>
      </c>
      <c r="F269" s="18">
        <f t="shared" si="15"/>
        <v>6942390</v>
      </c>
      <c r="G269" s="30"/>
    </row>
    <row r="270" spans="1:7" ht="14.25" customHeight="1" x14ac:dyDescent="0.2">
      <c r="A270" s="19">
        <v>234</v>
      </c>
      <c r="B270" s="14">
        <v>44837</v>
      </c>
      <c r="C270" s="27" t="s">
        <v>357</v>
      </c>
      <c r="D270" s="16"/>
      <c r="E270" s="16">
        <v>1500000</v>
      </c>
      <c r="F270" s="18">
        <f t="shared" si="15"/>
        <v>5442390</v>
      </c>
      <c r="G270" s="30"/>
    </row>
    <row r="271" spans="1:7" ht="14.25" customHeight="1" x14ac:dyDescent="0.2">
      <c r="A271" s="19">
        <v>235</v>
      </c>
      <c r="B271" s="14">
        <v>44842</v>
      </c>
      <c r="C271" s="27" t="s">
        <v>355</v>
      </c>
      <c r="D271" s="16"/>
      <c r="E271" s="16">
        <v>600000</v>
      </c>
      <c r="F271" s="18">
        <f t="shared" si="15"/>
        <v>4842390</v>
      </c>
      <c r="G271" s="30"/>
    </row>
    <row r="272" spans="1:7" ht="14.25" customHeight="1" x14ac:dyDescent="0.2">
      <c r="A272" s="19">
        <v>236</v>
      </c>
      <c r="B272" s="14">
        <v>44843</v>
      </c>
      <c r="C272" s="27" t="s">
        <v>358</v>
      </c>
      <c r="D272" s="16">
        <v>1999000</v>
      </c>
      <c r="E272" s="16"/>
      <c r="F272" s="18">
        <f t="shared" si="15"/>
        <v>6841390</v>
      </c>
      <c r="G272" s="30"/>
    </row>
    <row r="273" spans="1:7" ht="14.25" customHeight="1" x14ac:dyDescent="0.2">
      <c r="A273" s="19">
        <v>237</v>
      </c>
      <c r="B273" s="14">
        <v>44843</v>
      </c>
      <c r="C273" s="27" t="s">
        <v>361</v>
      </c>
      <c r="D273" s="16"/>
      <c r="E273" s="16">
        <v>310000</v>
      </c>
      <c r="F273" s="18">
        <f t="shared" si="15"/>
        <v>6531390</v>
      </c>
      <c r="G273" s="30"/>
    </row>
    <row r="274" spans="1:7" ht="14.25" customHeight="1" x14ac:dyDescent="0.2">
      <c r="A274" s="19">
        <v>238</v>
      </c>
      <c r="B274" s="14">
        <v>44855</v>
      </c>
      <c r="C274" s="27" t="s">
        <v>359</v>
      </c>
      <c r="D274" s="16"/>
      <c r="E274" s="16">
        <v>300000</v>
      </c>
      <c r="F274" s="18">
        <f t="shared" si="15"/>
        <v>6231390</v>
      </c>
      <c r="G274" s="30"/>
    </row>
    <row r="275" spans="1:7" ht="14.25" customHeight="1" x14ac:dyDescent="0.2">
      <c r="A275" s="19">
        <v>239</v>
      </c>
      <c r="B275" s="14">
        <v>44861</v>
      </c>
      <c r="C275" s="27" t="s">
        <v>363</v>
      </c>
      <c r="D275" s="16"/>
      <c r="E275" s="16">
        <v>900000</v>
      </c>
      <c r="F275" s="18">
        <f t="shared" si="15"/>
        <v>5331390</v>
      </c>
      <c r="G275" s="30"/>
    </row>
    <row r="276" spans="1:7" ht="14.25" customHeight="1" x14ac:dyDescent="0.2">
      <c r="A276" s="19">
        <v>240</v>
      </c>
      <c r="B276" s="14">
        <v>44862</v>
      </c>
      <c r="C276" s="27" t="s">
        <v>360</v>
      </c>
      <c r="D276" s="16"/>
      <c r="E276" s="16">
        <v>600000</v>
      </c>
      <c r="F276" s="18">
        <f t="shared" si="15"/>
        <v>4731390</v>
      </c>
      <c r="G276" s="30"/>
    </row>
    <row r="277" spans="1:7" ht="14.25" customHeight="1" x14ac:dyDescent="0.2">
      <c r="A277" s="19">
        <v>241</v>
      </c>
      <c r="B277" s="14">
        <v>44867</v>
      </c>
      <c r="C277" s="27" t="s">
        <v>362</v>
      </c>
      <c r="D277" s="16"/>
      <c r="E277" s="16">
        <v>1150000</v>
      </c>
      <c r="F277" s="18">
        <f t="shared" si="15"/>
        <v>3581390</v>
      </c>
      <c r="G277" s="30"/>
    </row>
    <row r="278" spans="1:7" ht="14.25" customHeight="1" x14ac:dyDescent="0.2">
      <c r="A278" s="19">
        <v>242</v>
      </c>
      <c r="B278" s="14">
        <v>44878</v>
      </c>
      <c r="C278" s="27" t="s">
        <v>364</v>
      </c>
      <c r="D278" s="16">
        <v>3162000</v>
      </c>
      <c r="E278" s="16"/>
      <c r="F278" s="18">
        <f t="shared" si="15"/>
        <v>6743390</v>
      </c>
      <c r="G278" s="30"/>
    </row>
    <row r="279" spans="1:7" ht="14.25" customHeight="1" x14ac:dyDescent="0.2">
      <c r="A279" s="19">
        <v>243</v>
      </c>
      <c r="B279" s="14">
        <v>44881</v>
      </c>
      <c r="C279" s="27" t="s">
        <v>352</v>
      </c>
      <c r="D279" s="16"/>
      <c r="E279" s="16">
        <v>900000</v>
      </c>
      <c r="F279" s="18">
        <f t="shared" si="15"/>
        <v>5843390</v>
      </c>
      <c r="G279" s="30"/>
    </row>
    <row r="280" spans="1:7" ht="14.25" customHeight="1" x14ac:dyDescent="0.2">
      <c r="A280" s="19">
        <v>244</v>
      </c>
      <c r="B280" s="14">
        <v>44890</v>
      </c>
      <c r="C280" s="27" t="s">
        <v>294</v>
      </c>
      <c r="D280" s="16"/>
      <c r="E280" s="16">
        <v>600000</v>
      </c>
      <c r="F280" s="18">
        <f t="shared" si="15"/>
        <v>5243390</v>
      </c>
      <c r="G280" s="30"/>
    </row>
    <row r="281" spans="1:7" ht="14.25" customHeight="1" x14ac:dyDescent="0.2">
      <c r="A281" s="19">
        <v>245</v>
      </c>
      <c r="B281" s="14">
        <v>44897</v>
      </c>
      <c r="C281" s="27" t="s">
        <v>365</v>
      </c>
      <c r="D281" s="16"/>
      <c r="E281" s="16">
        <v>1250000</v>
      </c>
      <c r="F281" s="18">
        <f t="shared" si="15"/>
        <v>3993390</v>
      </c>
      <c r="G281" s="30"/>
    </row>
    <row r="282" spans="1:7" ht="14.25" customHeight="1" x14ac:dyDescent="0.2">
      <c r="A282" s="19">
        <v>246</v>
      </c>
      <c r="B282" s="14">
        <v>44899</v>
      </c>
      <c r="C282" s="27" t="s">
        <v>366</v>
      </c>
      <c r="D282" s="16"/>
      <c r="E282" s="16">
        <v>1200000</v>
      </c>
      <c r="F282" s="18">
        <f t="shared" si="15"/>
        <v>2793390</v>
      </c>
      <c r="G282" s="30"/>
    </row>
    <row r="283" spans="1:7" ht="14.25" customHeight="1" x14ac:dyDescent="0.2">
      <c r="A283" s="19">
        <v>247</v>
      </c>
      <c r="B283" s="14">
        <v>44920</v>
      </c>
      <c r="C283" s="27" t="s">
        <v>368</v>
      </c>
      <c r="D283" s="16">
        <v>4263000</v>
      </c>
      <c r="E283" s="16"/>
      <c r="F283" s="18">
        <f t="shared" si="15"/>
        <v>7056390</v>
      </c>
      <c r="G283" s="30"/>
    </row>
    <row r="284" spans="1:7" ht="14.25" customHeight="1" x14ac:dyDescent="0.2">
      <c r="A284" s="19">
        <v>248</v>
      </c>
      <c r="B284" s="14">
        <v>44921</v>
      </c>
      <c r="C284" s="27" t="s">
        <v>367</v>
      </c>
      <c r="D284" s="16"/>
      <c r="E284" s="16">
        <v>600000</v>
      </c>
      <c r="F284" s="18">
        <f t="shared" si="15"/>
        <v>6456390</v>
      </c>
      <c r="G284" s="30"/>
    </row>
    <row r="285" spans="1:7" ht="14.25" customHeight="1" x14ac:dyDescent="0.2">
      <c r="A285" s="19">
        <v>249</v>
      </c>
      <c r="B285" s="14">
        <v>44927</v>
      </c>
      <c r="C285" s="27" t="s">
        <v>371</v>
      </c>
      <c r="D285" s="16"/>
      <c r="E285" s="16">
        <v>1000000</v>
      </c>
      <c r="F285" s="18">
        <f t="shared" si="15"/>
        <v>5456390</v>
      </c>
      <c r="G285" s="30"/>
    </row>
    <row r="286" spans="1:7" ht="14.25" customHeight="1" x14ac:dyDescent="0.2">
      <c r="A286" s="19">
        <v>250</v>
      </c>
      <c r="B286" s="14">
        <v>44929</v>
      </c>
      <c r="C286" s="27" t="s">
        <v>369</v>
      </c>
      <c r="D286" s="16"/>
      <c r="E286" s="16">
        <v>850000</v>
      </c>
      <c r="F286" s="18">
        <f t="shared" si="15"/>
        <v>4606390</v>
      </c>
      <c r="G286" s="30"/>
    </row>
    <row r="287" spans="1:7" ht="14.25" customHeight="1" x14ac:dyDescent="0.2">
      <c r="A287" s="19">
        <v>251</v>
      </c>
      <c r="B287" s="14">
        <v>44942</v>
      </c>
      <c r="C287" s="27" t="s">
        <v>370</v>
      </c>
      <c r="D287" s="16"/>
      <c r="E287" s="16">
        <v>1000000</v>
      </c>
      <c r="F287" s="18">
        <f t="shared" si="15"/>
        <v>3606390</v>
      </c>
      <c r="G287" s="30"/>
    </row>
    <row r="288" spans="1:7" ht="14.25" customHeight="1" x14ac:dyDescent="0.2">
      <c r="A288" s="19">
        <v>252</v>
      </c>
      <c r="B288" s="14" t="s">
        <v>372</v>
      </c>
      <c r="C288" s="27" t="s">
        <v>373</v>
      </c>
      <c r="D288" s="16"/>
      <c r="E288" s="16">
        <v>600000</v>
      </c>
      <c r="F288" s="18">
        <f t="shared" si="15"/>
        <v>3006390</v>
      </c>
      <c r="G288" s="30"/>
    </row>
    <row r="289" spans="1:12" ht="14.25" customHeight="1" x14ac:dyDescent="0.2">
      <c r="A289" s="19">
        <v>253</v>
      </c>
      <c r="B289" s="14" t="s">
        <v>374</v>
      </c>
      <c r="C289" s="27" t="s">
        <v>375</v>
      </c>
      <c r="D289" s="16">
        <v>3086000</v>
      </c>
      <c r="E289" s="16"/>
      <c r="F289" s="18">
        <f t="shared" si="15"/>
        <v>6092390</v>
      </c>
      <c r="G289" s="30"/>
    </row>
    <row r="290" spans="1:12" ht="14.25" customHeight="1" x14ac:dyDescent="0.2">
      <c r="A290" s="19">
        <v>254</v>
      </c>
      <c r="B290" s="14" t="s">
        <v>376</v>
      </c>
      <c r="C290" s="17" t="s">
        <v>377</v>
      </c>
      <c r="D290" s="16"/>
      <c r="E290" s="16">
        <v>1250000</v>
      </c>
      <c r="F290" s="18">
        <f t="shared" si="15"/>
        <v>4842390</v>
      </c>
    </row>
    <row r="291" spans="1:12" ht="14.25" customHeight="1" x14ac:dyDescent="0.2">
      <c r="A291" s="19">
        <v>255</v>
      </c>
      <c r="B291" s="14" t="s">
        <v>394</v>
      </c>
      <c r="C291" s="17" t="s">
        <v>395</v>
      </c>
      <c r="D291" s="16"/>
      <c r="E291" s="16">
        <v>300000</v>
      </c>
      <c r="F291" s="18">
        <f t="shared" si="15"/>
        <v>4542390</v>
      </c>
    </row>
    <row r="292" spans="1:12" ht="14.25" customHeight="1" x14ac:dyDescent="0.2">
      <c r="A292" s="19">
        <v>256</v>
      </c>
      <c r="B292" s="14" t="s">
        <v>396</v>
      </c>
      <c r="C292" s="17" t="s">
        <v>397</v>
      </c>
      <c r="D292" s="16"/>
      <c r="E292" s="16">
        <v>300000</v>
      </c>
      <c r="F292" s="18">
        <f t="shared" si="15"/>
        <v>4242390</v>
      </c>
    </row>
    <row r="293" spans="1:12" ht="14.25" customHeight="1" x14ac:dyDescent="0.2">
      <c r="A293" s="19">
        <v>257</v>
      </c>
      <c r="B293" s="14" t="s">
        <v>378</v>
      </c>
      <c r="C293" s="17" t="s">
        <v>379</v>
      </c>
      <c r="D293" s="16"/>
      <c r="E293" s="16">
        <v>1245000</v>
      </c>
      <c r="F293" s="18">
        <f t="shared" si="15"/>
        <v>2997390</v>
      </c>
    </row>
    <row r="294" spans="1:12" ht="14.25" customHeight="1" x14ac:dyDescent="0.2">
      <c r="A294" s="19">
        <v>258</v>
      </c>
      <c r="B294" s="61" t="s">
        <v>378</v>
      </c>
      <c r="C294" s="17" t="s">
        <v>380</v>
      </c>
      <c r="D294" s="31">
        <v>300000</v>
      </c>
      <c r="E294" s="31"/>
      <c r="F294" s="45">
        <f t="shared" si="15"/>
        <v>3297390</v>
      </c>
    </row>
    <row r="295" spans="1:12" ht="14.25" customHeight="1" x14ac:dyDescent="0.2">
      <c r="A295" s="19">
        <v>259</v>
      </c>
      <c r="B295" s="62" t="s">
        <v>398</v>
      </c>
      <c r="C295" s="17" t="s">
        <v>399</v>
      </c>
      <c r="D295" s="35"/>
      <c r="E295" s="31">
        <v>300000</v>
      </c>
      <c r="F295" s="46">
        <f t="shared" si="15"/>
        <v>2997390</v>
      </c>
      <c r="G295" s="40"/>
      <c r="H295" s="41"/>
      <c r="I295" s="42"/>
      <c r="J295" s="43"/>
      <c r="K295" s="43"/>
      <c r="L295" s="44"/>
    </row>
    <row r="296" spans="1:12" ht="14.25" customHeight="1" x14ac:dyDescent="0.2">
      <c r="A296" s="19">
        <v>260</v>
      </c>
      <c r="B296" s="63" t="s">
        <v>381</v>
      </c>
      <c r="C296" s="36" t="s">
        <v>400</v>
      </c>
      <c r="D296" s="38"/>
      <c r="E296" s="37">
        <v>300000</v>
      </c>
      <c r="F296" s="46">
        <f t="shared" si="15"/>
        <v>2697390</v>
      </c>
    </row>
    <row r="297" spans="1:12" ht="14.25" customHeight="1" x14ac:dyDescent="0.2">
      <c r="A297" s="19">
        <v>261</v>
      </c>
      <c r="B297" s="63" t="s">
        <v>383</v>
      </c>
      <c r="C297" s="36" t="s">
        <v>382</v>
      </c>
      <c r="D297" s="38"/>
      <c r="E297" s="37">
        <v>600000</v>
      </c>
      <c r="F297" s="45">
        <f t="shared" si="15"/>
        <v>2097390</v>
      </c>
    </row>
    <row r="298" spans="1:12" ht="14.25" customHeight="1" x14ac:dyDescent="0.2">
      <c r="A298" s="19">
        <v>262</v>
      </c>
      <c r="B298" s="63" t="s">
        <v>392</v>
      </c>
      <c r="C298" s="36" t="s">
        <v>393</v>
      </c>
      <c r="D298" s="39"/>
      <c r="E298" s="34">
        <v>1250000</v>
      </c>
      <c r="F298" s="32">
        <f t="shared" si="15"/>
        <v>847390</v>
      </c>
    </row>
    <row r="299" spans="1:12" ht="14.25" customHeight="1" x14ac:dyDescent="0.2">
      <c r="A299" s="19">
        <v>263</v>
      </c>
      <c r="B299" s="64" t="s">
        <v>384</v>
      </c>
      <c r="C299" s="33" t="s">
        <v>385</v>
      </c>
      <c r="D299" s="16">
        <v>300000</v>
      </c>
      <c r="E299" s="16"/>
      <c r="F299" s="18">
        <f t="shared" si="15"/>
        <v>1147390</v>
      </c>
    </row>
    <row r="300" spans="1:12" ht="14.25" customHeight="1" x14ac:dyDescent="0.2">
      <c r="A300" s="19">
        <v>264</v>
      </c>
      <c r="B300" s="14" t="s">
        <v>386</v>
      </c>
      <c r="C300" s="17" t="s">
        <v>401</v>
      </c>
      <c r="D300" s="16"/>
      <c r="E300" s="16">
        <v>300000</v>
      </c>
      <c r="F300" s="18">
        <f t="shared" si="15"/>
        <v>847390</v>
      </c>
    </row>
    <row r="301" spans="1:12" ht="14.25" customHeight="1" x14ac:dyDescent="0.2">
      <c r="A301" s="19">
        <v>265</v>
      </c>
      <c r="B301" s="14" t="s">
        <v>386</v>
      </c>
      <c r="C301" s="17" t="s">
        <v>391</v>
      </c>
      <c r="D301" s="16">
        <v>3248000</v>
      </c>
      <c r="E301" s="16"/>
      <c r="F301" s="18">
        <f>F299+D301-E301</f>
        <v>4395390</v>
      </c>
    </row>
    <row r="302" spans="1:12" ht="14.25" customHeight="1" x14ac:dyDescent="0.2">
      <c r="A302" s="19">
        <v>266</v>
      </c>
      <c r="B302" s="14" t="s">
        <v>387</v>
      </c>
      <c r="C302" s="17" t="s">
        <v>388</v>
      </c>
      <c r="D302" s="16"/>
      <c r="E302" s="16">
        <v>400000</v>
      </c>
      <c r="F302" s="18">
        <f t="shared" si="15"/>
        <v>3995390</v>
      </c>
    </row>
    <row r="303" spans="1:12" ht="14.25" customHeight="1" x14ac:dyDescent="0.2">
      <c r="A303" s="19">
        <v>267</v>
      </c>
      <c r="B303" s="14" t="s">
        <v>389</v>
      </c>
      <c r="C303" s="17" t="s">
        <v>390</v>
      </c>
      <c r="D303" s="16"/>
      <c r="E303" s="16">
        <v>153000</v>
      </c>
      <c r="F303" s="18">
        <f t="shared" si="15"/>
        <v>3842390</v>
      </c>
    </row>
    <row r="304" spans="1:12" ht="14.25" customHeight="1" x14ac:dyDescent="0.2">
      <c r="A304" s="19">
        <v>268</v>
      </c>
      <c r="B304" s="14" t="s">
        <v>389</v>
      </c>
      <c r="C304" s="17" t="s">
        <v>402</v>
      </c>
      <c r="D304" s="16"/>
      <c r="E304" s="16">
        <v>2096000</v>
      </c>
      <c r="F304" s="18">
        <f t="shared" si="15"/>
        <v>1746390</v>
      </c>
    </row>
    <row r="305" spans="1:6" ht="14.25" customHeight="1" x14ac:dyDescent="0.2">
      <c r="A305" s="19">
        <v>269</v>
      </c>
      <c r="B305" s="14" t="s">
        <v>389</v>
      </c>
      <c r="C305" s="17" t="s">
        <v>405</v>
      </c>
      <c r="D305" s="16">
        <v>10000000</v>
      </c>
      <c r="E305" s="16"/>
      <c r="F305" s="18">
        <f t="shared" si="15"/>
        <v>11746390</v>
      </c>
    </row>
    <row r="306" spans="1:6" ht="14.25" customHeight="1" x14ac:dyDescent="0.2">
      <c r="A306" s="19">
        <v>270</v>
      </c>
      <c r="B306" s="14" t="s">
        <v>403</v>
      </c>
      <c r="C306" s="17" t="s">
        <v>404</v>
      </c>
      <c r="D306" s="16"/>
      <c r="E306" s="16">
        <v>2500000</v>
      </c>
      <c r="F306" s="18">
        <f t="shared" si="15"/>
        <v>9246390</v>
      </c>
    </row>
    <row r="307" spans="1:6" ht="14.25" customHeight="1" x14ac:dyDescent="0.2">
      <c r="A307" s="19">
        <v>271</v>
      </c>
      <c r="B307" s="14" t="s">
        <v>406</v>
      </c>
      <c r="C307" s="17" t="s">
        <v>407</v>
      </c>
      <c r="D307" s="16"/>
      <c r="E307" s="16">
        <v>300000</v>
      </c>
      <c r="F307" s="18">
        <f t="shared" si="15"/>
        <v>8946390</v>
      </c>
    </row>
    <row r="308" spans="1:6" ht="14.25" customHeight="1" x14ac:dyDescent="0.2">
      <c r="A308" s="19">
        <v>272</v>
      </c>
      <c r="B308" s="14" t="s">
        <v>408</v>
      </c>
      <c r="C308" s="17" t="s">
        <v>409</v>
      </c>
      <c r="D308" s="16">
        <v>425000</v>
      </c>
      <c r="E308" s="16"/>
      <c r="F308" s="18">
        <f t="shared" si="15"/>
        <v>9371390</v>
      </c>
    </row>
    <row r="309" spans="1:6" ht="14.25" customHeight="1" x14ac:dyDescent="0.2">
      <c r="A309" s="19">
        <v>273</v>
      </c>
      <c r="B309" s="14" t="s">
        <v>410</v>
      </c>
      <c r="C309" s="17" t="s">
        <v>411</v>
      </c>
      <c r="D309" s="16"/>
      <c r="E309" s="16">
        <v>300000</v>
      </c>
      <c r="F309" s="18">
        <f t="shared" si="15"/>
        <v>9071390</v>
      </c>
    </row>
    <row r="310" spans="1:6" ht="14.25" customHeight="1" x14ac:dyDescent="0.2">
      <c r="A310" s="19">
        <v>274</v>
      </c>
      <c r="B310" s="14" t="s">
        <v>412</v>
      </c>
      <c r="C310" s="17" t="s">
        <v>416</v>
      </c>
      <c r="D310" s="16"/>
      <c r="E310" s="16">
        <v>700000</v>
      </c>
      <c r="F310" s="18">
        <f t="shared" si="15"/>
        <v>8371390</v>
      </c>
    </row>
    <row r="311" spans="1:6" ht="14.25" customHeight="1" x14ac:dyDescent="0.2">
      <c r="A311" s="19">
        <v>275</v>
      </c>
      <c r="B311" s="14" t="s">
        <v>413</v>
      </c>
      <c r="C311" s="17" t="s">
        <v>417</v>
      </c>
      <c r="D311" s="16">
        <v>3881000</v>
      </c>
      <c r="E311" s="16"/>
      <c r="F311" s="18">
        <f t="shared" si="15"/>
        <v>12252390</v>
      </c>
    </row>
    <row r="312" spans="1:6" ht="14.25" customHeight="1" x14ac:dyDescent="0.2">
      <c r="A312" s="19">
        <v>276</v>
      </c>
      <c r="B312" s="14" t="s">
        <v>413</v>
      </c>
      <c r="C312" s="17" t="s">
        <v>416</v>
      </c>
      <c r="D312" s="16"/>
      <c r="E312" s="16">
        <v>700000</v>
      </c>
      <c r="F312" s="18">
        <f t="shared" ref="F312:F375" si="16">F311+D312-E312</f>
        <v>11552390</v>
      </c>
    </row>
    <row r="313" spans="1:6" ht="14.25" customHeight="1" x14ac:dyDescent="0.2">
      <c r="A313" s="19">
        <v>277</v>
      </c>
      <c r="B313" s="14" t="s">
        <v>428</v>
      </c>
      <c r="C313" s="17" t="s">
        <v>429</v>
      </c>
      <c r="D313" s="16"/>
      <c r="E313" s="16">
        <v>300000</v>
      </c>
      <c r="F313" s="18">
        <f t="shared" si="16"/>
        <v>11252390</v>
      </c>
    </row>
    <row r="314" spans="1:6" ht="14.25" customHeight="1" x14ac:dyDescent="0.2">
      <c r="A314" s="19">
        <v>278</v>
      </c>
      <c r="B314" s="14" t="s">
        <v>418</v>
      </c>
      <c r="C314" s="17" t="s">
        <v>419</v>
      </c>
      <c r="D314" s="16"/>
      <c r="E314" s="16">
        <v>300000</v>
      </c>
      <c r="F314" s="18">
        <f t="shared" si="16"/>
        <v>10952390</v>
      </c>
    </row>
    <row r="315" spans="1:6" ht="14.25" customHeight="1" x14ac:dyDescent="0.2">
      <c r="A315" s="19">
        <v>279</v>
      </c>
      <c r="B315" s="14" t="s">
        <v>414</v>
      </c>
      <c r="C315" s="17" t="s">
        <v>416</v>
      </c>
      <c r="D315" s="16"/>
      <c r="E315" s="16">
        <v>700000</v>
      </c>
      <c r="F315" s="18">
        <f t="shared" si="16"/>
        <v>10252390</v>
      </c>
    </row>
    <row r="316" spans="1:6" ht="14.25" customHeight="1" x14ac:dyDescent="0.2">
      <c r="A316" s="19">
        <v>280</v>
      </c>
      <c r="B316" s="14" t="s">
        <v>415</v>
      </c>
      <c r="C316" s="17" t="s">
        <v>416</v>
      </c>
      <c r="D316" s="16"/>
      <c r="E316" s="16">
        <v>700000</v>
      </c>
      <c r="F316" s="18">
        <f t="shared" si="16"/>
        <v>9552390</v>
      </c>
    </row>
    <row r="317" spans="1:6" ht="14.25" customHeight="1" x14ac:dyDescent="0.2">
      <c r="A317" s="19">
        <v>281</v>
      </c>
      <c r="B317" s="14" t="s">
        <v>421</v>
      </c>
      <c r="C317" s="17" t="s">
        <v>422</v>
      </c>
      <c r="D317" s="16">
        <v>1887000</v>
      </c>
      <c r="E317" s="16"/>
      <c r="F317" s="18">
        <f t="shared" si="16"/>
        <v>11439390</v>
      </c>
    </row>
    <row r="318" spans="1:6" ht="14.25" customHeight="1" x14ac:dyDescent="0.2">
      <c r="A318" s="19">
        <v>282</v>
      </c>
      <c r="B318" s="14" t="s">
        <v>420</v>
      </c>
      <c r="C318" s="17" t="s">
        <v>423</v>
      </c>
      <c r="D318" s="16"/>
      <c r="E318" s="16">
        <v>850000</v>
      </c>
      <c r="F318" s="18">
        <f t="shared" si="16"/>
        <v>10589390</v>
      </c>
    </row>
    <row r="319" spans="1:6" ht="14.25" customHeight="1" x14ac:dyDescent="0.2">
      <c r="A319" s="19">
        <v>283</v>
      </c>
      <c r="B319" s="14" t="s">
        <v>420</v>
      </c>
      <c r="C319" s="17" t="s">
        <v>425</v>
      </c>
      <c r="D319" s="16"/>
      <c r="E319" s="16">
        <v>300000</v>
      </c>
      <c r="F319" s="18">
        <f t="shared" si="16"/>
        <v>10289390</v>
      </c>
    </row>
    <row r="320" spans="1:6" ht="14.25" customHeight="1" x14ac:dyDescent="0.2">
      <c r="A320" s="19">
        <v>284</v>
      </c>
      <c r="B320" s="14" t="s">
        <v>420</v>
      </c>
      <c r="C320" s="17" t="s">
        <v>426</v>
      </c>
      <c r="D320" s="16"/>
      <c r="E320" s="16">
        <v>300000</v>
      </c>
      <c r="F320" s="18">
        <f t="shared" si="16"/>
        <v>9989390</v>
      </c>
    </row>
    <row r="321" spans="1:6" ht="14.25" customHeight="1" x14ac:dyDescent="0.2">
      <c r="A321" s="19">
        <v>285</v>
      </c>
      <c r="B321" s="14">
        <v>45017</v>
      </c>
      <c r="C321" s="17" t="s">
        <v>424</v>
      </c>
      <c r="D321" s="16">
        <v>3881000</v>
      </c>
      <c r="E321" s="16"/>
      <c r="F321" s="18">
        <f t="shared" si="16"/>
        <v>13870390</v>
      </c>
    </row>
    <row r="322" spans="1:6" ht="14.25" customHeight="1" x14ac:dyDescent="0.2">
      <c r="A322" s="19">
        <v>286</v>
      </c>
      <c r="B322" s="14">
        <v>45017</v>
      </c>
      <c r="C322" s="17" t="s">
        <v>393</v>
      </c>
      <c r="D322" s="16"/>
      <c r="E322" s="16">
        <v>850000</v>
      </c>
      <c r="F322" s="18">
        <f t="shared" si="16"/>
        <v>13020390</v>
      </c>
    </row>
    <row r="323" spans="1:6" ht="14.25" customHeight="1" x14ac:dyDescent="0.2">
      <c r="A323" s="19">
        <v>287</v>
      </c>
      <c r="B323" s="14">
        <v>45017</v>
      </c>
      <c r="C323" s="17" t="s">
        <v>425</v>
      </c>
      <c r="D323" s="16"/>
      <c r="E323" s="16">
        <v>300000</v>
      </c>
      <c r="F323" s="18">
        <f t="shared" si="16"/>
        <v>12720390</v>
      </c>
    </row>
    <row r="324" spans="1:6" ht="14.25" customHeight="1" x14ac:dyDescent="0.2">
      <c r="A324" s="19">
        <v>288</v>
      </c>
      <c r="B324" s="14">
        <v>45018</v>
      </c>
      <c r="C324" s="17" t="s">
        <v>425</v>
      </c>
      <c r="D324" s="16"/>
      <c r="E324" s="16">
        <v>700000</v>
      </c>
      <c r="F324" s="18">
        <f t="shared" si="16"/>
        <v>12020390</v>
      </c>
    </row>
    <row r="325" spans="1:6" ht="14.25" customHeight="1" x14ac:dyDescent="0.2">
      <c r="A325" s="19">
        <v>289</v>
      </c>
      <c r="B325" s="14">
        <v>45019</v>
      </c>
      <c r="C325" s="17" t="s">
        <v>425</v>
      </c>
      <c r="D325" s="16"/>
      <c r="E325" s="16">
        <v>300000</v>
      </c>
      <c r="F325" s="18">
        <f t="shared" si="16"/>
        <v>11720390</v>
      </c>
    </row>
    <row r="326" spans="1:6" ht="14.25" customHeight="1" x14ac:dyDescent="0.2">
      <c r="A326" s="19">
        <v>290</v>
      </c>
      <c r="B326" s="14">
        <v>45019</v>
      </c>
      <c r="C326" s="17" t="s">
        <v>439</v>
      </c>
      <c r="D326" s="16">
        <v>300000</v>
      </c>
      <c r="E326" s="16"/>
      <c r="F326" s="18">
        <f t="shared" si="16"/>
        <v>12020390</v>
      </c>
    </row>
    <row r="327" spans="1:6" ht="14.25" customHeight="1" x14ac:dyDescent="0.2">
      <c r="A327" s="19">
        <v>291</v>
      </c>
      <c r="B327" s="14">
        <v>45020</v>
      </c>
      <c r="C327" s="17" t="s">
        <v>425</v>
      </c>
      <c r="D327" s="16"/>
      <c r="E327" s="16">
        <v>300000</v>
      </c>
      <c r="F327" s="18">
        <f t="shared" si="16"/>
        <v>11720390</v>
      </c>
    </row>
    <row r="328" spans="1:6" ht="14.25" customHeight="1" x14ac:dyDescent="0.2">
      <c r="A328" s="19">
        <v>292</v>
      </c>
      <c r="B328" s="14">
        <v>45021</v>
      </c>
      <c r="C328" s="17" t="s">
        <v>425</v>
      </c>
      <c r="D328" s="16"/>
      <c r="E328" s="16">
        <v>300000</v>
      </c>
      <c r="F328" s="18">
        <f t="shared" si="16"/>
        <v>11420390</v>
      </c>
    </row>
    <row r="329" spans="1:6" ht="14.25" customHeight="1" x14ac:dyDescent="0.2">
      <c r="A329" s="19">
        <v>293</v>
      </c>
      <c r="B329" s="14">
        <v>45022</v>
      </c>
      <c r="C329" s="17" t="s">
        <v>425</v>
      </c>
      <c r="D329" s="16"/>
      <c r="E329" s="16">
        <v>300000</v>
      </c>
      <c r="F329" s="18">
        <f t="shared" si="16"/>
        <v>11120390</v>
      </c>
    </row>
    <row r="330" spans="1:6" ht="14.25" customHeight="1" x14ac:dyDescent="0.2">
      <c r="A330" s="19">
        <v>294</v>
      </c>
      <c r="B330" s="14">
        <v>45023</v>
      </c>
      <c r="C330" s="17" t="s">
        <v>425</v>
      </c>
      <c r="D330" s="16"/>
      <c r="E330" s="16">
        <v>700000</v>
      </c>
      <c r="F330" s="18">
        <f t="shared" si="16"/>
        <v>10420390</v>
      </c>
    </row>
    <row r="331" spans="1:6" ht="14.25" customHeight="1" x14ac:dyDescent="0.2">
      <c r="A331" s="19">
        <v>295</v>
      </c>
      <c r="B331" s="14">
        <v>45023</v>
      </c>
      <c r="C331" s="17" t="s">
        <v>430</v>
      </c>
      <c r="D331" s="16">
        <v>3618000</v>
      </c>
      <c r="E331" s="16"/>
      <c r="F331" s="18">
        <f t="shared" si="16"/>
        <v>14038390</v>
      </c>
    </row>
    <row r="332" spans="1:6" ht="14.25" customHeight="1" x14ac:dyDescent="0.2">
      <c r="A332" s="19">
        <v>296</v>
      </c>
      <c r="B332" s="14">
        <v>45024</v>
      </c>
      <c r="C332" s="17" t="s">
        <v>425</v>
      </c>
      <c r="D332" s="16"/>
      <c r="E332" s="16">
        <v>300000</v>
      </c>
      <c r="F332" s="18">
        <f t="shared" si="16"/>
        <v>13738390</v>
      </c>
    </row>
    <row r="333" spans="1:6" ht="14.25" customHeight="1" x14ac:dyDescent="0.2">
      <c r="A333" s="19">
        <v>297</v>
      </c>
      <c r="B333" s="14">
        <v>45025</v>
      </c>
      <c r="C333" s="17" t="s">
        <v>425</v>
      </c>
      <c r="D333" s="16"/>
      <c r="E333" s="16">
        <v>300000</v>
      </c>
      <c r="F333" s="18">
        <f t="shared" si="16"/>
        <v>13438390</v>
      </c>
    </row>
    <row r="334" spans="1:6" ht="14.25" customHeight="1" x14ac:dyDescent="0.2">
      <c r="A334" s="19">
        <v>298</v>
      </c>
      <c r="B334" s="14">
        <v>45026</v>
      </c>
      <c r="C334" s="17" t="s">
        <v>425</v>
      </c>
      <c r="D334" s="16"/>
      <c r="E334" s="16">
        <v>300000</v>
      </c>
      <c r="F334" s="18">
        <f t="shared" si="16"/>
        <v>13138390</v>
      </c>
    </row>
    <row r="335" spans="1:6" ht="14.25" customHeight="1" x14ac:dyDescent="0.2">
      <c r="A335" s="19">
        <v>299</v>
      </c>
      <c r="B335" s="14">
        <v>45026</v>
      </c>
      <c r="C335" s="17" t="s">
        <v>431</v>
      </c>
      <c r="D335" s="16"/>
      <c r="E335" s="16">
        <v>600000</v>
      </c>
      <c r="F335" s="18">
        <f t="shared" si="16"/>
        <v>12538390</v>
      </c>
    </row>
    <row r="336" spans="1:6" ht="14.25" customHeight="1" x14ac:dyDescent="0.2">
      <c r="A336" s="19">
        <v>300</v>
      </c>
      <c r="B336" s="14">
        <v>45027</v>
      </c>
      <c r="C336" s="17" t="s">
        <v>425</v>
      </c>
      <c r="D336" s="16"/>
      <c r="E336" s="16">
        <v>300000</v>
      </c>
      <c r="F336" s="18">
        <f t="shared" si="16"/>
        <v>12238390</v>
      </c>
    </row>
    <row r="337" spans="1:6" ht="14.25" customHeight="1" x14ac:dyDescent="0.2">
      <c r="A337" s="19">
        <v>301</v>
      </c>
      <c r="B337" s="14">
        <v>45028</v>
      </c>
      <c r="C337" s="17" t="s">
        <v>425</v>
      </c>
      <c r="D337" s="16"/>
      <c r="E337" s="16">
        <v>700000</v>
      </c>
      <c r="F337" s="18">
        <f t="shared" si="16"/>
        <v>11538390</v>
      </c>
    </row>
    <row r="338" spans="1:6" ht="14.25" customHeight="1" x14ac:dyDescent="0.2">
      <c r="A338" s="19">
        <v>302</v>
      </c>
      <c r="B338" s="14">
        <v>45029</v>
      </c>
      <c r="C338" s="17" t="s">
        <v>425</v>
      </c>
      <c r="D338" s="16"/>
      <c r="E338" s="16">
        <v>300000</v>
      </c>
      <c r="F338" s="18">
        <f t="shared" si="16"/>
        <v>11238390</v>
      </c>
    </row>
    <row r="339" spans="1:6" ht="14.25" customHeight="1" x14ac:dyDescent="0.2">
      <c r="A339" s="19">
        <v>303</v>
      </c>
      <c r="B339" s="14">
        <v>45030</v>
      </c>
      <c r="C339" s="17" t="s">
        <v>425</v>
      </c>
      <c r="D339" s="16"/>
      <c r="E339" s="16">
        <v>300000</v>
      </c>
      <c r="F339" s="18">
        <f t="shared" si="16"/>
        <v>10938390</v>
      </c>
    </row>
    <row r="340" spans="1:6" ht="14.25" customHeight="1" x14ac:dyDescent="0.2">
      <c r="A340" s="19">
        <v>304</v>
      </c>
      <c r="B340" s="14">
        <v>45030</v>
      </c>
      <c r="C340" s="17" t="s">
        <v>427</v>
      </c>
      <c r="D340" s="16"/>
      <c r="E340" s="16">
        <v>300000</v>
      </c>
      <c r="F340" s="18">
        <f t="shared" si="16"/>
        <v>10638390</v>
      </c>
    </row>
    <row r="341" spans="1:6" ht="14.25" customHeight="1" x14ac:dyDescent="0.2">
      <c r="A341" s="19">
        <v>305</v>
      </c>
      <c r="B341" s="14">
        <v>45032</v>
      </c>
      <c r="C341" s="17" t="s">
        <v>425</v>
      </c>
      <c r="D341" s="16"/>
      <c r="E341" s="16">
        <v>300000</v>
      </c>
      <c r="F341" s="18">
        <f t="shared" si="16"/>
        <v>10338390</v>
      </c>
    </row>
    <row r="342" spans="1:6" ht="14.25" customHeight="1" x14ac:dyDescent="0.2">
      <c r="A342" s="19">
        <v>306</v>
      </c>
      <c r="B342" s="14">
        <v>45032</v>
      </c>
      <c r="C342" s="17" t="s">
        <v>436</v>
      </c>
      <c r="D342" s="16">
        <v>2531000</v>
      </c>
      <c r="E342" s="16"/>
      <c r="F342" s="18">
        <f t="shared" si="16"/>
        <v>12869390</v>
      </c>
    </row>
    <row r="343" spans="1:6" ht="14.25" customHeight="1" x14ac:dyDescent="0.2">
      <c r="A343" s="19">
        <v>307</v>
      </c>
      <c r="B343" s="14">
        <v>45033</v>
      </c>
      <c r="C343" s="17" t="s">
        <v>425</v>
      </c>
      <c r="D343" s="16"/>
      <c r="E343" s="16">
        <v>300000</v>
      </c>
      <c r="F343" s="18">
        <f t="shared" si="16"/>
        <v>12569390</v>
      </c>
    </row>
    <row r="344" spans="1:6" ht="14.25" customHeight="1" x14ac:dyDescent="0.2">
      <c r="A344" s="19">
        <v>308</v>
      </c>
      <c r="B344" s="14">
        <v>45034</v>
      </c>
      <c r="C344" s="17" t="s">
        <v>432</v>
      </c>
      <c r="D344" s="16">
        <v>510000</v>
      </c>
      <c r="E344" s="16"/>
      <c r="F344" s="18">
        <f t="shared" si="16"/>
        <v>13079390</v>
      </c>
    </row>
    <row r="345" spans="1:6" ht="14.25" customHeight="1" x14ac:dyDescent="0.2">
      <c r="A345" s="19">
        <v>309</v>
      </c>
      <c r="B345" s="14">
        <v>45036</v>
      </c>
      <c r="C345" s="17" t="s">
        <v>433</v>
      </c>
      <c r="D345" s="16">
        <v>50000</v>
      </c>
      <c r="E345" s="16"/>
      <c r="F345" s="18">
        <f t="shared" si="16"/>
        <v>13129390</v>
      </c>
    </row>
    <row r="346" spans="1:6" ht="14.25" customHeight="1" x14ac:dyDescent="0.2">
      <c r="A346" s="19">
        <v>310</v>
      </c>
      <c r="B346" s="14">
        <v>45036</v>
      </c>
      <c r="C346" s="17" t="s">
        <v>434</v>
      </c>
      <c r="D346" s="16">
        <v>20000</v>
      </c>
      <c r="E346" s="16"/>
      <c r="F346" s="18">
        <f t="shared" si="16"/>
        <v>13149390</v>
      </c>
    </row>
    <row r="347" spans="1:6" ht="14.25" customHeight="1" x14ac:dyDescent="0.2">
      <c r="A347" s="19">
        <v>311</v>
      </c>
      <c r="B347" s="14">
        <v>45036</v>
      </c>
      <c r="C347" s="17" t="s">
        <v>435</v>
      </c>
      <c r="D347" s="16">
        <v>100000</v>
      </c>
      <c r="E347" s="16"/>
      <c r="F347" s="18">
        <f t="shared" si="16"/>
        <v>13249390</v>
      </c>
    </row>
    <row r="348" spans="1:6" ht="14.25" customHeight="1" x14ac:dyDescent="0.2">
      <c r="A348" s="19">
        <v>312</v>
      </c>
      <c r="B348" s="14">
        <v>45037</v>
      </c>
      <c r="C348" s="17" t="s">
        <v>426</v>
      </c>
      <c r="D348" s="16"/>
      <c r="E348" s="16">
        <v>300000</v>
      </c>
      <c r="F348" s="18">
        <f t="shared" si="16"/>
        <v>12949390</v>
      </c>
    </row>
    <row r="349" spans="1:6" ht="14.25" customHeight="1" x14ac:dyDescent="0.2">
      <c r="A349" s="19">
        <v>313</v>
      </c>
      <c r="B349" s="14">
        <v>45044</v>
      </c>
      <c r="C349" s="17" t="s">
        <v>328</v>
      </c>
      <c r="D349" s="16"/>
      <c r="E349" s="16">
        <v>300000</v>
      </c>
      <c r="F349" s="18">
        <f t="shared" si="16"/>
        <v>12649390</v>
      </c>
    </row>
    <row r="350" spans="1:6" ht="14.25" customHeight="1" x14ac:dyDescent="0.2">
      <c r="A350" s="19">
        <v>314</v>
      </c>
      <c r="B350" s="14">
        <v>45044</v>
      </c>
      <c r="C350" s="17" t="s">
        <v>437</v>
      </c>
      <c r="D350" s="16"/>
      <c r="E350" s="16">
        <v>600000</v>
      </c>
      <c r="F350" s="18">
        <f t="shared" si="16"/>
        <v>12049390</v>
      </c>
    </row>
    <row r="351" spans="1:6" ht="14.25" customHeight="1" x14ac:dyDescent="0.2">
      <c r="A351" s="19">
        <v>315</v>
      </c>
      <c r="B351" s="14">
        <v>45044</v>
      </c>
      <c r="C351" s="17" t="s">
        <v>438</v>
      </c>
      <c r="D351" s="16"/>
      <c r="E351" s="16">
        <v>1000000</v>
      </c>
      <c r="F351" s="18">
        <f t="shared" si="16"/>
        <v>11049390</v>
      </c>
    </row>
    <row r="352" spans="1:6" ht="14.25" customHeight="1" x14ac:dyDescent="0.2">
      <c r="A352" s="19">
        <v>316</v>
      </c>
      <c r="B352" s="14">
        <v>45047</v>
      </c>
      <c r="C352" s="17" t="s">
        <v>440</v>
      </c>
      <c r="D352" s="16">
        <v>300000</v>
      </c>
      <c r="E352" s="16"/>
      <c r="F352" s="18">
        <f t="shared" si="16"/>
        <v>11349390</v>
      </c>
    </row>
    <row r="353" spans="1:6" ht="14.25" customHeight="1" x14ac:dyDescent="0.2">
      <c r="A353" s="19">
        <v>317</v>
      </c>
      <c r="B353" s="14">
        <v>45051</v>
      </c>
      <c r="C353" s="17" t="s">
        <v>447</v>
      </c>
      <c r="D353" s="16"/>
      <c r="E353" s="16">
        <v>1550000</v>
      </c>
      <c r="F353" s="18">
        <f t="shared" si="16"/>
        <v>9799390</v>
      </c>
    </row>
    <row r="354" spans="1:6" ht="14.25" customHeight="1" x14ac:dyDescent="0.2">
      <c r="A354" s="19">
        <v>318</v>
      </c>
      <c r="B354" s="14">
        <v>45051</v>
      </c>
      <c r="C354" s="17" t="s">
        <v>328</v>
      </c>
      <c r="D354" s="16"/>
      <c r="E354" s="16">
        <v>300000</v>
      </c>
      <c r="F354" s="18">
        <f t="shared" si="16"/>
        <v>9499390</v>
      </c>
    </row>
    <row r="355" spans="1:6" ht="14.25" customHeight="1" x14ac:dyDescent="0.2">
      <c r="A355" s="19">
        <v>319</v>
      </c>
      <c r="B355" s="14">
        <v>45056</v>
      </c>
      <c r="C355" s="17" t="s">
        <v>442</v>
      </c>
      <c r="D355" s="16"/>
      <c r="E355" s="16">
        <v>150000</v>
      </c>
      <c r="F355" s="18">
        <f t="shared" si="16"/>
        <v>9349390</v>
      </c>
    </row>
    <row r="356" spans="1:6" ht="16" x14ac:dyDescent="0.2">
      <c r="A356" s="19">
        <v>320</v>
      </c>
      <c r="B356" s="65">
        <v>45059</v>
      </c>
      <c r="C356" s="36" t="s">
        <v>328</v>
      </c>
      <c r="D356" s="47"/>
      <c r="E356" s="16">
        <v>300000</v>
      </c>
      <c r="F356" s="18">
        <f t="shared" si="16"/>
        <v>9049390</v>
      </c>
    </row>
    <row r="357" spans="1:6" ht="16" x14ac:dyDescent="0.2">
      <c r="A357" s="19">
        <v>321</v>
      </c>
      <c r="B357" s="14">
        <v>45061</v>
      </c>
      <c r="C357" s="33" t="s">
        <v>443</v>
      </c>
      <c r="D357" s="16">
        <v>1500000</v>
      </c>
      <c r="E357" s="16"/>
      <c r="F357" s="18">
        <f t="shared" si="16"/>
        <v>10549390</v>
      </c>
    </row>
    <row r="358" spans="1:6" ht="14.25" customHeight="1" x14ac:dyDescent="0.2">
      <c r="A358" s="19">
        <v>322</v>
      </c>
      <c r="B358" s="14">
        <v>45064</v>
      </c>
      <c r="C358" s="17" t="s">
        <v>444</v>
      </c>
      <c r="D358" s="16">
        <v>4267000</v>
      </c>
      <c r="E358" s="16"/>
      <c r="F358" s="18">
        <f t="shared" si="16"/>
        <v>14816390</v>
      </c>
    </row>
    <row r="359" spans="1:6" ht="14.25" customHeight="1" x14ac:dyDescent="0.2">
      <c r="A359" s="19">
        <v>323</v>
      </c>
      <c r="B359" s="14">
        <v>45064</v>
      </c>
      <c r="C359" s="17" t="s">
        <v>446</v>
      </c>
      <c r="D359" s="16"/>
      <c r="E359" s="16">
        <v>1500000</v>
      </c>
      <c r="F359" s="18">
        <f t="shared" si="16"/>
        <v>13316390</v>
      </c>
    </row>
    <row r="360" spans="1:6" ht="14.25" customHeight="1" x14ac:dyDescent="0.2">
      <c r="A360" s="19">
        <v>324</v>
      </c>
      <c r="B360" s="14">
        <v>45064</v>
      </c>
      <c r="C360" s="17" t="s">
        <v>445</v>
      </c>
      <c r="D360" s="16"/>
      <c r="E360" s="16">
        <v>600000</v>
      </c>
      <c r="F360" s="18">
        <f t="shared" si="16"/>
        <v>12716390</v>
      </c>
    </row>
    <row r="361" spans="1:6" ht="14.25" customHeight="1" x14ac:dyDescent="0.2">
      <c r="A361" s="19">
        <v>325</v>
      </c>
      <c r="B361" s="14">
        <v>45065</v>
      </c>
      <c r="C361" s="17" t="s">
        <v>328</v>
      </c>
      <c r="D361" s="16"/>
      <c r="E361" s="16">
        <v>300000</v>
      </c>
      <c r="F361" s="18">
        <f t="shared" si="16"/>
        <v>12416390</v>
      </c>
    </row>
    <row r="362" spans="1:6" ht="14.25" customHeight="1" x14ac:dyDescent="0.2">
      <c r="A362" s="19">
        <v>326</v>
      </c>
      <c r="B362" s="14">
        <v>45072</v>
      </c>
      <c r="C362" s="17" t="s">
        <v>328</v>
      </c>
      <c r="D362" s="16"/>
      <c r="E362" s="16">
        <v>300000</v>
      </c>
      <c r="F362" s="18">
        <f t="shared" si="16"/>
        <v>12116390</v>
      </c>
    </row>
    <row r="363" spans="1:6" ht="14.25" customHeight="1" x14ac:dyDescent="0.2">
      <c r="A363" s="19">
        <v>327</v>
      </c>
      <c r="B363" s="14">
        <v>45072</v>
      </c>
      <c r="C363" s="17" t="s">
        <v>335</v>
      </c>
      <c r="D363" s="16"/>
      <c r="E363" s="16">
        <v>600000</v>
      </c>
      <c r="F363" s="18">
        <f t="shared" si="16"/>
        <v>11516390</v>
      </c>
    </row>
    <row r="364" spans="1:6" ht="14.25" customHeight="1" x14ac:dyDescent="0.2">
      <c r="A364" s="19">
        <v>328</v>
      </c>
      <c r="B364" s="14">
        <v>45073</v>
      </c>
      <c r="C364" s="17" t="s">
        <v>451</v>
      </c>
      <c r="D364" s="16"/>
      <c r="E364" s="16">
        <v>354500</v>
      </c>
      <c r="F364" s="18">
        <f t="shared" si="16"/>
        <v>11161890</v>
      </c>
    </row>
    <row r="365" spans="1:6" ht="14.25" customHeight="1" x14ac:dyDescent="0.2">
      <c r="A365" s="19">
        <v>329</v>
      </c>
      <c r="B365" s="14">
        <v>45079</v>
      </c>
      <c r="C365" s="17" t="s">
        <v>328</v>
      </c>
      <c r="D365" s="16"/>
      <c r="E365" s="16">
        <v>300000</v>
      </c>
      <c r="F365" s="18">
        <f t="shared" si="16"/>
        <v>10861890</v>
      </c>
    </row>
    <row r="366" spans="1:6" ht="14.25" customHeight="1" x14ac:dyDescent="0.2">
      <c r="A366" s="19">
        <v>330</v>
      </c>
      <c r="B366" s="14">
        <v>45079</v>
      </c>
      <c r="C366" s="17" t="s">
        <v>441</v>
      </c>
      <c r="D366" s="16"/>
      <c r="E366" s="16">
        <v>1550000</v>
      </c>
      <c r="F366" s="18">
        <f t="shared" si="16"/>
        <v>9311890</v>
      </c>
    </row>
    <row r="367" spans="1:6" ht="14.25" customHeight="1" x14ac:dyDescent="0.2">
      <c r="A367" s="19">
        <v>331</v>
      </c>
      <c r="B367" s="14">
        <v>45082</v>
      </c>
      <c r="C367" s="17" t="s">
        <v>455</v>
      </c>
      <c r="D367" s="16">
        <v>300000</v>
      </c>
      <c r="E367" s="16"/>
      <c r="F367" s="18">
        <f t="shared" si="16"/>
        <v>9611890</v>
      </c>
    </row>
    <row r="368" spans="1:6" ht="14.25" customHeight="1" x14ac:dyDescent="0.2">
      <c r="A368" s="19">
        <v>332</v>
      </c>
      <c r="B368" s="14">
        <v>45086</v>
      </c>
      <c r="C368" s="17" t="s">
        <v>328</v>
      </c>
      <c r="D368" s="16"/>
      <c r="E368" s="16">
        <v>300000</v>
      </c>
      <c r="F368" s="18">
        <f t="shared" si="16"/>
        <v>9311890</v>
      </c>
    </row>
    <row r="369" spans="1:6" ht="14.25" customHeight="1" x14ac:dyDescent="0.2">
      <c r="A369" s="19">
        <v>333</v>
      </c>
      <c r="B369" s="14">
        <v>45093</v>
      </c>
      <c r="C369" s="17" t="s">
        <v>328</v>
      </c>
      <c r="D369" s="16"/>
      <c r="E369" s="16">
        <v>300000</v>
      </c>
      <c r="F369" s="18">
        <f t="shared" si="16"/>
        <v>9011890</v>
      </c>
    </row>
    <row r="370" spans="1:6" ht="14.25" customHeight="1" x14ac:dyDescent="0.2">
      <c r="A370" s="19">
        <v>334</v>
      </c>
      <c r="B370" s="14">
        <v>45102</v>
      </c>
      <c r="C370" s="17" t="s">
        <v>448</v>
      </c>
      <c r="D370" s="16">
        <v>5572000</v>
      </c>
      <c r="E370" s="16"/>
      <c r="F370" s="18">
        <f t="shared" si="16"/>
        <v>14583890</v>
      </c>
    </row>
    <row r="371" spans="1:6" ht="14.25" customHeight="1" x14ac:dyDescent="0.2">
      <c r="A371" s="19">
        <v>335</v>
      </c>
      <c r="B371" s="14">
        <v>45102</v>
      </c>
      <c r="C371" s="17" t="s">
        <v>449</v>
      </c>
      <c r="D371" s="16"/>
      <c r="E371" s="16">
        <v>600000</v>
      </c>
      <c r="F371" s="18">
        <f t="shared" si="16"/>
        <v>13983890</v>
      </c>
    </row>
    <row r="372" spans="1:6" ht="14.25" customHeight="1" x14ac:dyDescent="0.2">
      <c r="A372" s="19">
        <v>336</v>
      </c>
      <c r="B372" s="14">
        <v>45103</v>
      </c>
      <c r="C372" s="17" t="s">
        <v>450</v>
      </c>
      <c r="D372" s="16"/>
      <c r="E372" s="16">
        <v>262600</v>
      </c>
      <c r="F372" s="18">
        <f t="shared" si="16"/>
        <v>13721290</v>
      </c>
    </row>
    <row r="373" spans="1:6" ht="14.25" customHeight="1" x14ac:dyDescent="0.2">
      <c r="A373" s="19">
        <v>337</v>
      </c>
      <c r="B373" s="14">
        <v>45103</v>
      </c>
      <c r="C373" s="17" t="s">
        <v>452</v>
      </c>
      <c r="D373" s="16"/>
      <c r="E373" s="16">
        <v>60000</v>
      </c>
      <c r="F373" s="18">
        <f t="shared" si="16"/>
        <v>13661290</v>
      </c>
    </row>
    <row r="374" spans="1:6" ht="14.25" customHeight="1" x14ac:dyDescent="0.2">
      <c r="A374" s="19">
        <v>338</v>
      </c>
      <c r="B374" s="14">
        <v>45107</v>
      </c>
      <c r="C374" s="17" t="s">
        <v>328</v>
      </c>
      <c r="D374" s="16"/>
      <c r="E374" s="16">
        <v>300000</v>
      </c>
      <c r="F374" s="18">
        <f t="shared" si="16"/>
        <v>13361290</v>
      </c>
    </row>
    <row r="375" spans="1:6" ht="14.25" customHeight="1" x14ac:dyDescent="0.2">
      <c r="A375" s="19">
        <v>339</v>
      </c>
      <c r="B375" s="14">
        <v>45108</v>
      </c>
      <c r="C375" s="17" t="s">
        <v>453</v>
      </c>
      <c r="D375" s="16">
        <v>1388000</v>
      </c>
      <c r="E375" s="16"/>
      <c r="F375" s="18">
        <f t="shared" si="16"/>
        <v>14749290</v>
      </c>
    </row>
    <row r="376" spans="1:6" ht="14.25" customHeight="1" x14ac:dyDescent="0.2">
      <c r="A376" s="19">
        <v>340</v>
      </c>
      <c r="B376" s="14">
        <v>45109</v>
      </c>
      <c r="C376" s="17" t="s">
        <v>454</v>
      </c>
      <c r="D376" s="16"/>
      <c r="E376" s="16">
        <v>1550000</v>
      </c>
      <c r="F376" s="18">
        <f t="shared" ref="F376:F439" si="17">F375+D376-E376</f>
        <v>13199290</v>
      </c>
    </row>
    <row r="377" spans="1:6" ht="14.25" customHeight="1" x14ac:dyDescent="0.2">
      <c r="A377" s="19">
        <v>341</v>
      </c>
      <c r="B377" s="14">
        <v>45109</v>
      </c>
      <c r="C377" s="17" t="s">
        <v>457</v>
      </c>
      <c r="D377" s="16">
        <v>300000</v>
      </c>
      <c r="E377" s="16"/>
      <c r="F377" s="18">
        <f t="shared" si="17"/>
        <v>13499290</v>
      </c>
    </row>
    <row r="378" spans="1:6" ht="14.25" customHeight="1" x14ac:dyDescent="0.2">
      <c r="A378" s="19">
        <v>342</v>
      </c>
      <c r="B378" s="14">
        <v>45114</v>
      </c>
      <c r="C378" s="17" t="s">
        <v>328</v>
      </c>
      <c r="D378" s="16"/>
      <c r="E378" s="16">
        <v>300000</v>
      </c>
      <c r="F378" s="18">
        <f t="shared" si="17"/>
        <v>13199290</v>
      </c>
    </row>
    <row r="379" spans="1:6" ht="14.25" customHeight="1" x14ac:dyDescent="0.2">
      <c r="A379" s="19">
        <v>343</v>
      </c>
      <c r="B379" s="14">
        <v>45121</v>
      </c>
      <c r="C379" s="17" t="s">
        <v>328</v>
      </c>
      <c r="D379" s="16"/>
      <c r="E379" s="16">
        <v>300000</v>
      </c>
      <c r="F379" s="18">
        <f t="shared" si="17"/>
        <v>12899290</v>
      </c>
    </row>
    <row r="380" spans="1:6" ht="14.25" customHeight="1" x14ac:dyDescent="0.2">
      <c r="A380" s="19">
        <v>344</v>
      </c>
      <c r="B380" s="14">
        <v>45128</v>
      </c>
      <c r="C380" s="17" t="s">
        <v>328</v>
      </c>
      <c r="D380" s="16"/>
      <c r="E380" s="16">
        <v>300000</v>
      </c>
      <c r="F380" s="18">
        <f t="shared" si="17"/>
        <v>12599290</v>
      </c>
    </row>
    <row r="381" spans="1:6" ht="14.25" customHeight="1" x14ac:dyDescent="0.2">
      <c r="A381" s="19">
        <v>345</v>
      </c>
      <c r="B381" s="14">
        <v>45132</v>
      </c>
      <c r="C381" s="17" t="s">
        <v>328</v>
      </c>
      <c r="D381" s="16"/>
      <c r="E381" s="16">
        <v>600000</v>
      </c>
      <c r="F381" s="18">
        <f t="shared" si="17"/>
        <v>11999290</v>
      </c>
    </row>
    <row r="382" spans="1:6" ht="14.25" customHeight="1" x14ac:dyDescent="0.2">
      <c r="A382" s="19">
        <v>346</v>
      </c>
      <c r="B382" s="14">
        <v>45135</v>
      </c>
      <c r="C382" s="17" t="s">
        <v>426</v>
      </c>
      <c r="D382" s="16"/>
      <c r="E382" s="16">
        <v>300000</v>
      </c>
      <c r="F382" s="18">
        <f t="shared" si="17"/>
        <v>11699290</v>
      </c>
    </row>
    <row r="383" spans="1:6" ht="14.25" customHeight="1" x14ac:dyDescent="0.2">
      <c r="A383" s="19">
        <v>347</v>
      </c>
      <c r="B383" s="14">
        <v>45138</v>
      </c>
      <c r="C383" s="17" t="s">
        <v>456</v>
      </c>
      <c r="D383" s="16"/>
      <c r="E383" s="16">
        <v>1550000</v>
      </c>
      <c r="F383" s="18">
        <f t="shared" si="17"/>
        <v>10149290</v>
      </c>
    </row>
    <row r="384" spans="1:6" ht="14.25" customHeight="1" x14ac:dyDescent="0.2">
      <c r="A384" s="19">
        <v>348</v>
      </c>
      <c r="B384" s="14">
        <v>45140</v>
      </c>
      <c r="C384" s="17" t="s">
        <v>458</v>
      </c>
      <c r="D384" s="16">
        <v>300000</v>
      </c>
      <c r="E384" s="16"/>
      <c r="F384" s="18">
        <f t="shared" si="17"/>
        <v>10449290</v>
      </c>
    </row>
    <row r="385" spans="1:6" ht="14.25" customHeight="1" x14ac:dyDescent="0.2">
      <c r="A385" s="19">
        <v>349</v>
      </c>
      <c r="B385" s="14">
        <v>45142</v>
      </c>
      <c r="C385" s="17" t="s">
        <v>328</v>
      </c>
      <c r="D385" s="16"/>
      <c r="E385" s="16">
        <v>300000</v>
      </c>
      <c r="F385" s="18">
        <f t="shared" si="17"/>
        <v>10149290</v>
      </c>
    </row>
    <row r="386" spans="1:6" ht="14.25" customHeight="1" x14ac:dyDescent="0.2">
      <c r="A386" s="19">
        <v>350</v>
      </c>
      <c r="B386" s="14">
        <v>45149</v>
      </c>
      <c r="C386" s="17" t="s">
        <v>328</v>
      </c>
      <c r="D386" s="16"/>
      <c r="E386" s="16">
        <v>300000</v>
      </c>
      <c r="F386" s="18">
        <f t="shared" si="17"/>
        <v>9849290</v>
      </c>
    </row>
    <row r="387" spans="1:6" ht="14.25" customHeight="1" x14ac:dyDescent="0.2">
      <c r="A387" s="19">
        <v>351</v>
      </c>
      <c r="B387" s="14">
        <v>45151</v>
      </c>
      <c r="C387" s="17" t="s">
        <v>459</v>
      </c>
      <c r="D387" s="16">
        <v>1259000</v>
      </c>
      <c r="E387" s="16"/>
      <c r="F387" s="18">
        <f t="shared" si="17"/>
        <v>11108290</v>
      </c>
    </row>
    <row r="388" spans="1:6" ht="14.25" customHeight="1" x14ac:dyDescent="0.2">
      <c r="A388" s="19">
        <v>352</v>
      </c>
      <c r="B388" s="14">
        <v>45156</v>
      </c>
      <c r="C388" s="17" t="s">
        <v>426</v>
      </c>
      <c r="D388" s="16"/>
      <c r="E388" s="16">
        <v>300000</v>
      </c>
      <c r="F388" s="18">
        <f t="shared" si="17"/>
        <v>10808290</v>
      </c>
    </row>
    <row r="389" spans="1:6" ht="14.25" customHeight="1" x14ac:dyDescent="0.2">
      <c r="A389" s="19">
        <v>353</v>
      </c>
      <c r="B389" s="14">
        <v>45161</v>
      </c>
      <c r="C389" s="17" t="s">
        <v>461</v>
      </c>
      <c r="D389" s="16"/>
      <c r="E389" s="16">
        <v>2700000</v>
      </c>
      <c r="F389" s="18">
        <f t="shared" si="17"/>
        <v>8108290</v>
      </c>
    </row>
    <row r="390" spans="1:6" ht="14.25" customHeight="1" x14ac:dyDescent="0.2">
      <c r="A390" s="19">
        <v>354</v>
      </c>
      <c r="B390" s="14">
        <v>45163</v>
      </c>
      <c r="C390" s="17" t="s">
        <v>328</v>
      </c>
      <c r="D390" s="16"/>
      <c r="E390" s="16">
        <v>300000</v>
      </c>
      <c r="F390" s="18">
        <f t="shared" si="17"/>
        <v>7808290</v>
      </c>
    </row>
    <row r="391" spans="1:6" ht="14.25" customHeight="1" x14ac:dyDescent="0.2">
      <c r="A391" s="19">
        <v>355</v>
      </c>
      <c r="B391" s="14">
        <v>45164</v>
      </c>
      <c r="C391" s="17" t="s">
        <v>462</v>
      </c>
      <c r="D391" s="16"/>
      <c r="E391" s="16">
        <v>600000</v>
      </c>
      <c r="F391" s="18">
        <f t="shared" si="17"/>
        <v>7208290</v>
      </c>
    </row>
    <row r="392" spans="1:6" ht="14.25" customHeight="1" x14ac:dyDescent="0.2">
      <c r="A392" s="19">
        <v>356</v>
      </c>
      <c r="B392" s="14">
        <v>45168</v>
      </c>
      <c r="C392" s="17" t="s">
        <v>463</v>
      </c>
      <c r="D392" s="16"/>
      <c r="E392" s="16">
        <v>1350000</v>
      </c>
      <c r="F392" s="18">
        <f t="shared" si="17"/>
        <v>5858290</v>
      </c>
    </row>
    <row r="393" spans="1:6" ht="14.25" customHeight="1" x14ac:dyDescent="0.2">
      <c r="A393" s="19">
        <v>357</v>
      </c>
      <c r="B393" s="14">
        <v>45169</v>
      </c>
      <c r="C393" s="17" t="s">
        <v>464</v>
      </c>
      <c r="D393" s="16">
        <v>1534000</v>
      </c>
      <c r="E393" s="16"/>
      <c r="F393" s="18">
        <f t="shared" si="17"/>
        <v>7392290</v>
      </c>
    </row>
    <row r="394" spans="1:6" ht="14.25" customHeight="1" x14ac:dyDescent="0.2">
      <c r="A394" s="19">
        <v>358</v>
      </c>
      <c r="B394" s="14">
        <v>45170</v>
      </c>
      <c r="C394" s="17" t="s">
        <v>426</v>
      </c>
      <c r="D394" s="16"/>
      <c r="E394" s="16">
        <v>300000</v>
      </c>
      <c r="F394" s="18">
        <f t="shared" si="17"/>
        <v>7092290</v>
      </c>
    </row>
    <row r="395" spans="1:6" ht="14.25" customHeight="1" x14ac:dyDescent="0.2">
      <c r="A395" s="19">
        <v>359</v>
      </c>
      <c r="B395" s="14">
        <v>45171</v>
      </c>
      <c r="C395" s="17" t="s">
        <v>465</v>
      </c>
      <c r="D395" s="16">
        <v>300000</v>
      </c>
      <c r="E395" s="16"/>
      <c r="F395" s="18">
        <f t="shared" si="17"/>
        <v>7392290</v>
      </c>
    </row>
    <row r="396" spans="1:6" ht="14.25" customHeight="1" x14ac:dyDescent="0.2">
      <c r="A396" s="19">
        <v>360</v>
      </c>
      <c r="B396" s="14">
        <v>45177</v>
      </c>
      <c r="C396" s="17" t="s">
        <v>426</v>
      </c>
      <c r="D396" s="16"/>
      <c r="E396" s="16">
        <v>300000</v>
      </c>
      <c r="F396" s="18">
        <f t="shared" si="17"/>
        <v>7092290</v>
      </c>
    </row>
    <row r="397" spans="1:6" ht="14.25" customHeight="1" x14ac:dyDescent="0.2">
      <c r="A397" s="19">
        <v>361</v>
      </c>
      <c r="B397" s="14">
        <v>45184</v>
      </c>
      <c r="C397" s="17" t="s">
        <v>426</v>
      </c>
      <c r="D397" s="16"/>
      <c r="E397" s="16">
        <v>300000</v>
      </c>
      <c r="F397" s="18">
        <f t="shared" si="17"/>
        <v>6792290</v>
      </c>
    </row>
    <row r="398" spans="1:6" ht="14.25" customHeight="1" x14ac:dyDescent="0.2">
      <c r="A398" s="19">
        <v>362</v>
      </c>
      <c r="B398" s="14">
        <v>45191</v>
      </c>
      <c r="C398" s="17" t="s">
        <v>426</v>
      </c>
      <c r="D398" s="16"/>
      <c r="E398" s="16">
        <v>300000</v>
      </c>
      <c r="F398" s="18">
        <f t="shared" si="17"/>
        <v>6492290</v>
      </c>
    </row>
    <row r="399" spans="1:6" ht="14.25" customHeight="1" x14ac:dyDescent="0.2">
      <c r="A399" s="19">
        <v>363</v>
      </c>
      <c r="B399" s="14">
        <v>45192</v>
      </c>
      <c r="C399" s="17" t="s">
        <v>466</v>
      </c>
      <c r="D399" s="16">
        <v>1592000</v>
      </c>
      <c r="E399" s="16"/>
      <c r="F399" s="18">
        <f t="shared" si="17"/>
        <v>8084290</v>
      </c>
    </row>
    <row r="400" spans="1:6" ht="14.25" customHeight="1" x14ac:dyDescent="0.2">
      <c r="A400" s="19">
        <v>364</v>
      </c>
      <c r="B400" s="14">
        <v>45195</v>
      </c>
      <c r="C400" s="17" t="s">
        <v>467</v>
      </c>
      <c r="D400" s="16"/>
      <c r="E400" s="16">
        <v>600000</v>
      </c>
      <c r="F400" s="18">
        <f t="shared" si="17"/>
        <v>7484290</v>
      </c>
    </row>
    <row r="401" spans="1:6" ht="14.25" customHeight="1" x14ac:dyDescent="0.2">
      <c r="A401" s="19">
        <v>365</v>
      </c>
      <c r="B401" s="14">
        <v>45198</v>
      </c>
      <c r="C401" s="17" t="s">
        <v>426</v>
      </c>
      <c r="D401" s="16"/>
      <c r="E401" s="16">
        <v>300000</v>
      </c>
      <c r="F401" s="18">
        <f t="shared" si="17"/>
        <v>7184290</v>
      </c>
    </row>
    <row r="402" spans="1:6" ht="14.25" customHeight="1" x14ac:dyDescent="0.2">
      <c r="A402" s="19">
        <v>366</v>
      </c>
      <c r="B402" s="14">
        <v>45199</v>
      </c>
      <c r="C402" s="17" t="s">
        <v>468</v>
      </c>
      <c r="D402" s="16"/>
      <c r="E402" s="16">
        <v>1400000</v>
      </c>
      <c r="F402" s="18">
        <f t="shared" si="17"/>
        <v>5784290</v>
      </c>
    </row>
    <row r="403" spans="1:6" ht="14.25" customHeight="1" x14ac:dyDescent="0.2">
      <c r="A403" s="19">
        <v>367</v>
      </c>
      <c r="B403" s="14">
        <v>45200</v>
      </c>
      <c r="C403" s="17" t="s">
        <v>329</v>
      </c>
      <c r="D403" s="16">
        <v>2986000</v>
      </c>
      <c r="E403" s="16"/>
      <c r="F403" s="18">
        <f t="shared" si="17"/>
        <v>8770290</v>
      </c>
    </row>
    <row r="404" spans="1:6" ht="14.25" customHeight="1" x14ac:dyDescent="0.2">
      <c r="A404" s="19">
        <v>368</v>
      </c>
      <c r="B404" s="14">
        <v>45201</v>
      </c>
      <c r="C404" s="17" t="s">
        <v>469</v>
      </c>
      <c r="D404" s="16">
        <v>300000</v>
      </c>
      <c r="E404" s="16"/>
      <c r="F404" s="18">
        <f t="shared" si="17"/>
        <v>9070290</v>
      </c>
    </row>
    <row r="405" spans="1:6" ht="14.25" customHeight="1" x14ac:dyDescent="0.2">
      <c r="A405" s="19">
        <v>369</v>
      </c>
      <c r="B405" s="14">
        <v>45205</v>
      </c>
      <c r="C405" s="17" t="s">
        <v>426</v>
      </c>
      <c r="D405" s="16"/>
      <c r="E405" s="16">
        <v>300000</v>
      </c>
      <c r="F405" s="18">
        <f t="shared" si="17"/>
        <v>8770290</v>
      </c>
    </row>
    <row r="406" spans="1:6" ht="14.25" customHeight="1" x14ac:dyDescent="0.2">
      <c r="A406" s="19">
        <v>370</v>
      </c>
      <c r="B406" s="14">
        <v>45212</v>
      </c>
      <c r="C406" s="17" t="s">
        <v>426</v>
      </c>
      <c r="D406" s="16"/>
      <c r="E406" s="16">
        <v>300000</v>
      </c>
      <c r="F406" s="18">
        <f t="shared" si="17"/>
        <v>8470290</v>
      </c>
    </row>
    <row r="407" spans="1:6" ht="14.25" customHeight="1" x14ac:dyDescent="0.2">
      <c r="A407" s="19">
        <v>371</v>
      </c>
      <c r="B407" s="14">
        <v>45219</v>
      </c>
      <c r="C407" s="17" t="s">
        <v>426</v>
      </c>
      <c r="D407" s="16"/>
      <c r="E407" s="16">
        <v>300000</v>
      </c>
      <c r="F407" s="18">
        <f t="shared" si="17"/>
        <v>8170290</v>
      </c>
    </row>
    <row r="408" spans="1:6" ht="14.25" customHeight="1" x14ac:dyDescent="0.2">
      <c r="A408" s="19">
        <v>372</v>
      </c>
      <c r="B408" s="14">
        <v>45220</v>
      </c>
      <c r="C408" s="17" t="s">
        <v>470</v>
      </c>
      <c r="D408" s="16">
        <v>1957000</v>
      </c>
      <c r="E408" s="16"/>
      <c r="F408" s="18">
        <f t="shared" si="17"/>
        <v>10127290</v>
      </c>
    </row>
    <row r="409" spans="1:6" ht="14.25" customHeight="1" x14ac:dyDescent="0.2">
      <c r="A409" s="19">
        <v>373</v>
      </c>
      <c r="B409" s="14">
        <v>45226</v>
      </c>
      <c r="C409" s="17" t="s">
        <v>426</v>
      </c>
      <c r="D409" s="16"/>
      <c r="E409" s="16">
        <v>300000</v>
      </c>
      <c r="F409" s="18">
        <f t="shared" si="17"/>
        <v>9827290</v>
      </c>
    </row>
    <row r="410" spans="1:6" ht="14.25" customHeight="1" x14ac:dyDescent="0.2">
      <c r="A410" s="19">
        <v>374</v>
      </c>
      <c r="B410" s="14">
        <v>45227</v>
      </c>
      <c r="C410" s="17" t="s">
        <v>471</v>
      </c>
      <c r="D410" s="16"/>
      <c r="E410" s="16">
        <v>600000</v>
      </c>
      <c r="F410" s="18">
        <f t="shared" si="17"/>
        <v>9227290</v>
      </c>
    </row>
    <row r="411" spans="1:6" ht="14.25" customHeight="1" x14ac:dyDescent="0.2">
      <c r="A411" s="19">
        <v>375</v>
      </c>
      <c r="B411" s="14">
        <v>45231</v>
      </c>
      <c r="C411" s="17" t="s">
        <v>473</v>
      </c>
      <c r="D411" s="16"/>
      <c r="E411" s="16">
        <v>1200000</v>
      </c>
      <c r="F411" s="18">
        <f t="shared" si="17"/>
        <v>8027290</v>
      </c>
    </row>
    <row r="412" spans="1:6" ht="14.25" customHeight="1" x14ac:dyDescent="0.2">
      <c r="A412" s="19">
        <v>376</v>
      </c>
      <c r="B412" s="14">
        <v>45232</v>
      </c>
      <c r="C412" s="17" t="s">
        <v>472</v>
      </c>
      <c r="D412" s="16">
        <v>300000</v>
      </c>
      <c r="E412" s="16"/>
      <c r="F412" s="18">
        <f t="shared" si="17"/>
        <v>8327290</v>
      </c>
    </row>
    <row r="413" spans="1:6" ht="14.25" customHeight="1" x14ac:dyDescent="0.2">
      <c r="A413" s="19">
        <v>377</v>
      </c>
      <c r="B413" s="14">
        <v>45233</v>
      </c>
      <c r="C413" s="17" t="s">
        <v>426</v>
      </c>
      <c r="D413" s="16"/>
      <c r="E413" s="16">
        <v>300000</v>
      </c>
      <c r="F413" s="18">
        <f t="shared" si="17"/>
        <v>8027290</v>
      </c>
    </row>
    <row r="414" spans="1:6" ht="14.25" customHeight="1" x14ac:dyDescent="0.2">
      <c r="A414" s="19">
        <v>378</v>
      </c>
      <c r="B414" s="14">
        <v>45240</v>
      </c>
      <c r="C414" s="17" t="s">
        <v>426</v>
      </c>
      <c r="D414" s="16"/>
      <c r="E414" s="16">
        <v>300000</v>
      </c>
      <c r="F414" s="18">
        <f t="shared" si="17"/>
        <v>7727290</v>
      </c>
    </row>
    <row r="415" spans="1:6" ht="14.25" customHeight="1" x14ac:dyDescent="0.2">
      <c r="A415" s="19">
        <v>379</v>
      </c>
      <c r="B415" s="14">
        <v>45247</v>
      </c>
      <c r="C415" s="17" t="s">
        <v>426</v>
      </c>
      <c r="D415" s="16"/>
      <c r="E415" s="16">
        <v>300000</v>
      </c>
      <c r="F415" s="18">
        <f t="shared" si="17"/>
        <v>7427290</v>
      </c>
    </row>
    <row r="416" spans="1:6" ht="14.25" customHeight="1" x14ac:dyDescent="0.2">
      <c r="A416" s="19">
        <v>380</v>
      </c>
      <c r="B416" s="14">
        <v>45254</v>
      </c>
      <c r="C416" s="17" t="s">
        <v>426</v>
      </c>
      <c r="D416" s="16"/>
      <c r="E416" s="16">
        <v>300000</v>
      </c>
      <c r="F416" s="18">
        <f t="shared" si="17"/>
        <v>7127290</v>
      </c>
    </row>
    <row r="417" spans="1:6" ht="14.25" customHeight="1" x14ac:dyDescent="0.2">
      <c r="A417" s="19">
        <v>381</v>
      </c>
      <c r="B417" s="14">
        <v>45255</v>
      </c>
      <c r="C417" s="17" t="s">
        <v>113</v>
      </c>
      <c r="D417" s="16"/>
      <c r="E417" s="16">
        <v>600000</v>
      </c>
      <c r="F417" s="18">
        <f t="shared" si="17"/>
        <v>6527290</v>
      </c>
    </row>
    <row r="418" spans="1:6" ht="14.25" customHeight="1" x14ac:dyDescent="0.2">
      <c r="A418" s="19">
        <v>382</v>
      </c>
      <c r="B418" s="14">
        <v>45261</v>
      </c>
      <c r="C418" s="17" t="s">
        <v>426</v>
      </c>
      <c r="D418" s="16"/>
      <c r="E418" s="16">
        <v>300000</v>
      </c>
      <c r="F418" s="18">
        <f t="shared" si="17"/>
        <v>6227290</v>
      </c>
    </row>
    <row r="419" spans="1:6" ht="14.25" customHeight="1" x14ac:dyDescent="0.2">
      <c r="A419" s="19">
        <v>383</v>
      </c>
      <c r="B419" s="14">
        <v>45261</v>
      </c>
      <c r="C419" s="17" t="s">
        <v>474</v>
      </c>
      <c r="D419" s="16"/>
      <c r="E419" s="16">
        <v>1400000</v>
      </c>
      <c r="F419" s="18">
        <f t="shared" si="17"/>
        <v>4827290</v>
      </c>
    </row>
    <row r="420" spans="1:6" ht="14.25" customHeight="1" x14ac:dyDescent="0.2">
      <c r="A420" s="19">
        <v>384</v>
      </c>
      <c r="B420" s="14">
        <v>45262</v>
      </c>
      <c r="C420" s="17" t="s">
        <v>475</v>
      </c>
      <c r="D420" s="16">
        <v>300000</v>
      </c>
      <c r="E420" s="16"/>
      <c r="F420" s="18">
        <f t="shared" si="17"/>
        <v>5127290</v>
      </c>
    </row>
    <row r="421" spans="1:6" ht="14.25" customHeight="1" x14ac:dyDescent="0.2">
      <c r="A421" s="19">
        <v>385</v>
      </c>
      <c r="B421" s="14">
        <v>45268</v>
      </c>
      <c r="C421" s="17" t="s">
        <v>426</v>
      </c>
      <c r="D421" s="16"/>
      <c r="E421" s="16">
        <v>300000</v>
      </c>
      <c r="F421" s="18">
        <f t="shared" si="17"/>
        <v>4827290</v>
      </c>
    </row>
    <row r="422" spans="1:6" ht="14.25" customHeight="1" x14ac:dyDescent="0.2">
      <c r="A422" s="19">
        <v>386</v>
      </c>
      <c r="B422" s="14">
        <v>45268</v>
      </c>
      <c r="C422" s="17" t="s">
        <v>476</v>
      </c>
      <c r="D422" s="16"/>
      <c r="E422" s="16">
        <v>500000</v>
      </c>
      <c r="F422" s="18">
        <f t="shared" si="17"/>
        <v>4327290</v>
      </c>
    </row>
    <row r="423" spans="1:6" ht="14.25" customHeight="1" x14ac:dyDescent="0.2">
      <c r="A423" s="19">
        <v>387</v>
      </c>
      <c r="B423" s="14">
        <v>45268</v>
      </c>
      <c r="C423" s="17" t="s">
        <v>477</v>
      </c>
      <c r="D423" s="16"/>
      <c r="E423" s="16">
        <v>800000</v>
      </c>
      <c r="F423" s="18">
        <f t="shared" si="17"/>
        <v>3527290</v>
      </c>
    </row>
    <row r="424" spans="1:6" ht="14.25" customHeight="1" x14ac:dyDescent="0.2">
      <c r="A424" s="19">
        <v>388</v>
      </c>
      <c r="B424" s="14">
        <v>45275</v>
      </c>
      <c r="C424" s="17" t="s">
        <v>426</v>
      </c>
      <c r="D424" s="16"/>
      <c r="E424" s="16">
        <v>300000</v>
      </c>
      <c r="F424" s="18">
        <f t="shared" si="17"/>
        <v>3227290</v>
      </c>
    </row>
    <row r="425" spans="1:6" ht="14.25" customHeight="1" x14ac:dyDescent="0.2">
      <c r="A425" s="19">
        <v>389</v>
      </c>
      <c r="B425" s="14">
        <v>45282</v>
      </c>
      <c r="C425" s="17" t="s">
        <v>426</v>
      </c>
      <c r="D425" s="16"/>
      <c r="E425" s="16">
        <v>300000</v>
      </c>
      <c r="F425" s="18">
        <f t="shared" si="17"/>
        <v>2927290</v>
      </c>
    </row>
    <row r="426" spans="1:6" ht="14.25" customHeight="1" x14ac:dyDescent="0.2">
      <c r="A426" s="19">
        <v>390</v>
      </c>
      <c r="B426" s="14">
        <v>45283</v>
      </c>
      <c r="C426" s="17" t="s">
        <v>471</v>
      </c>
      <c r="D426" s="16"/>
      <c r="E426" s="16">
        <v>600000</v>
      </c>
      <c r="F426" s="18">
        <f t="shared" si="17"/>
        <v>2327290</v>
      </c>
    </row>
    <row r="427" spans="1:6" ht="14.25" customHeight="1" x14ac:dyDescent="0.2">
      <c r="A427" s="19">
        <v>391</v>
      </c>
      <c r="B427" s="14">
        <v>45289</v>
      </c>
      <c r="C427" s="17" t="s">
        <v>426</v>
      </c>
      <c r="D427" s="16"/>
      <c r="E427" s="16">
        <v>300000</v>
      </c>
      <c r="F427" s="18">
        <f t="shared" si="17"/>
        <v>2027290</v>
      </c>
    </row>
    <row r="428" spans="1:6" ht="14.25" customHeight="1" x14ac:dyDescent="0.2">
      <c r="A428" s="19">
        <v>392</v>
      </c>
      <c r="B428" s="14">
        <v>45291</v>
      </c>
      <c r="C428" s="17" t="s">
        <v>478</v>
      </c>
      <c r="D428" s="16"/>
      <c r="E428" s="16">
        <v>1500000</v>
      </c>
      <c r="F428" s="18">
        <f t="shared" si="17"/>
        <v>527290</v>
      </c>
    </row>
    <row r="429" spans="1:6" ht="14.25" customHeight="1" x14ac:dyDescent="0.2">
      <c r="A429" s="19">
        <v>393</v>
      </c>
      <c r="B429" s="14">
        <v>45291</v>
      </c>
      <c r="C429" s="17" t="s">
        <v>466</v>
      </c>
      <c r="D429" s="16">
        <v>2076000</v>
      </c>
      <c r="E429" s="16"/>
      <c r="F429" s="18">
        <f t="shared" si="17"/>
        <v>2603290</v>
      </c>
    </row>
    <row r="430" spans="1:6" ht="14.25" customHeight="1" x14ac:dyDescent="0.2">
      <c r="A430" s="19">
        <v>394</v>
      </c>
      <c r="B430" s="14">
        <v>45292</v>
      </c>
      <c r="C430" s="17" t="s">
        <v>488</v>
      </c>
      <c r="D430" s="16">
        <v>300000</v>
      </c>
      <c r="E430" s="16"/>
      <c r="F430" s="18">
        <f t="shared" si="17"/>
        <v>2903290</v>
      </c>
    </row>
    <row r="431" spans="1:6" ht="14.25" customHeight="1" x14ac:dyDescent="0.2">
      <c r="A431" s="19">
        <v>395</v>
      </c>
      <c r="B431" s="14">
        <v>45296</v>
      </c>
      <c r="C431" s="17" t="s">
        <v>426</v>
      </c>
      <c r="D431" s="16"/>
      <c r="E431" s="16">
        <v>300000</v>
      </c>
      <c r="F431" s="18">
        <f t="shared" si="17"/>
        <v>2603290</v>
      </c>
    </row>
    <row r="432" spans="1:6" ht="14.25" customHeight="1" x14ac:dyDescent="0.2">
      <c r="A432" s="19">
        <v>396</v>
      </c>
      <c r="B432" s="14">
        <v>45303</v>
      </c>
      <c r="C432" s="17" t="s">
        <v>426</v>
      </c>
      <c r="D432" s="16"/>
      <c r="E432" s="16">
        <v>300000</v>
      </c>
      <c r="F432" s="18">
        <f t="shared" si="17"/>
        <v>2303290</v>
      </c>
    </row>
    <row r="433" spans="1:6" ht="14.25" customHeight="1" x14ac:dyDescent="0.2">
      <c r="A433" s="19">
        <v>397</v>
      </c>
      <c r="B433" s="14">
        <v>45310</v>
      </c>
      <c r="C433" s="17" t="s">
        <v>426</v>
      </c>
      <c r="D433" s="16"/>
      <c r="E433" s="16">
        <v>300000</v>
      </c>
      <c r="F433" s="18">
        <f t="shared" si="17"/>
        <v>2003290</v>
      </c>
    </row>
    <row r="434" spans="1:6" ht="14.25" customHeight="1" x14ac:dyDescent="0.2">
      <c r="A434" s="19">
        <v>398</v>
      </c>
      <c r="B434" s="14">
        <v>45317</v>
      </c>
      <c r="C434" s="17" t="s">
        <v>426</v>
      </c>
      <c r="D434" s="16"/>
      <c r="E434" s="16">
        <v>300000</v>
      </c>
      <c r="F434" s="18">
        <f t="shared" si="17"/>
        <v>1703290</v>
      </c>
    </row>
    <row r="435" spans="1:6" ht="14.25" customHeight="1" x14ac:dyDescent="0.2">
      <c r="A435" s="19">
        <v>399</v>
      </c>
      <c r="B435" s="14">
        <v>45318</v>
      </c>
      <c r="C435" s="17" t="s">
        <v>479</v>
      </c>
      <c r="D435" s="16"/>
      <c r="E435" s="16">
        <v>600000</v>
      </c>
      <c r="F435" s="18">
        <f t="shared" si="17"/>
        <v>1103290</v>
      </c>
    </row>
    <row r="436" spans="1:6" ht="14.25" customHeight="1" x14ac:dyDescent="0.2">
      <c r="A436" s="19">
        <v>400</v>
      </c>
      <c r="B436" s="14">
        <v>45321</v>
      </c>
      <c r="C436" s="17" t="s">
        <v>489</v>
      </c>
      <c r="D436" s="16">
        <v>500000</v>
      </c>
      <c r="E436" s="16"/>
      <c r="F436" s="18">
        <f t="shared" si="17"/>
        <v>1603290</v>
      </c>
    </row>
    <row r="437" spans="1:6" ht="14.25" customHeight="1" x14ac:dyDescent="0.2">
      <c r="A437" s="19">
        <v>401</v>
      </c>
      <c r="B437" s="14">
        <v>45322</v>
      </c>
      <c r="C437" s="17" t="s">
        <v>480</v>
      </c>
      <c r="D437" s="16"/>
      <c r="E437" s="16">
        <v>1450000</v>
      </c>
      <c r="F437" s="18">
        <f t="shared" si="17"/>
        <v>153290</v>
      </c>
    </row>
    <row r="438" spans="1:6" ht="14.25" customHeight="1" x14ac:dyDescent="0.2">
      <c r="A438" s="19">
        <v>402</v>
      </c>
      <c r="B438" s="14">
        <v>45324</v>
      </c>
      <c r="C438" s="17" t="s">
        <v>426</v>
      </c>
      <c r="D438" s="16"/>
      <c r="E438" s="16">
        <v>300000</v>
      </c>
      <c r="F438" s="18">
        <f t="shared" si="17"/>
        <v>-146710</v>
      </c>
    </row>
    <row r="439" spans="1:6" ht="14.25" customHeight="1" x14ac:dyDescent="0.2">
      <c r="A439" s="19">
        <v>403</v>
      </c>
      <c r="B439" s="14">
        <v>45331</v>
      </c>
      <c r="C439" s="17" t="s">
        <v>426</v>
      </c>
      <c r="D439" s="16"/>
      <c r="E439" s="16">
        <v>300000</v>
      </c>
      <c r="F439" s="18">
        <f t="shared" si="17"/>
        <v>-446710</v>
      </c>
    </row>
    <row r="440" spans="1:6" ht="14.25" customHeight="1" x14ac:dyDescent="0.2">
      <c r="A440" s="19">
        <v>404</v>
      </c>
      <c r="B440" s="14">
        <v>45332</v>
      </c>
      <c r="C440" s="17" t="s">
        <v>329</v>
      </c>
      <c r="D440" s="16">
        <v>2300000</v>
      </c>
      <c r="E440" s="16"/>
      <c r="F440" s="18">
        <f t="shared" ref="F440:F452" si="18">F439+D440-E440</f>
        <v>1853290</v>
      </c>
    </row>
    <row r="441" spans="1:6" ht="14.25" customHeight="1" x14ac:dyDescent="0.2">
      <c r="A441" s="19">
        <v>405</v>
      </c>
      <c r="B441" s="14">
        <v>45338</v>
      </c>
      <c r="C441" s="17" t="s">
        <v>426</v>
      </c>
      <c r="D441" s="16"/>
      <c r="E441" s="16">
        <v>300000</v>
      </c>
      <c r="F441" s="18">
        <f t="shared" si="18"/>
        <v>1553290</v>
      </c>
    </row>
    <row r="442" spans="1:6" ht="14.25" customHeight="1" x14ac:dyDescent="0.2">
      <c r="A442" s="19">
        <v>406</v>
      </c>
      <c r="B442" s="14">
        <v>45346</v>
      </c>
      <c r="C442" s="17" t="s">
        <v>329</v>
      </c>
      <c r="D442" s="16">
        <v>1510000</v>
      </c>
      <c r="E442" s="16"/>
      <c r="F442" s="18">
        <f t="shared" si="18"/>
        <v>3063290</v>
      </c>
    </row>
    <row r="443" spans="1:6" ht="14.25" customHeight="1" x14ac:dyDescent="0.2">
      <c r="A443" s="19">
        <v>407</v>
      </c>
      <c r="B443" s="14">
        <v>45347</v>
      </c>
      <c r="C443" s="17" t="s">
        <v>462</v>
      </c>
      <c r="D443" s="16"/>
      <c r="E443" s="16">
        <v>600000</v>
      </c>
      <c r="F443" s="18">
        <f t="shared" si="18"/>
        <v>2463290</v>
      </c>
    </row>
    <row r="444" spans="1:6" ht="14.25" customHeight="1" x14ac:dyDescent="0.2">
      <c r="A444" s="19">
        <v>408</v>
      </c>
      <c r="B444" s="14">
        <v>45349</v>
      </c>
      <c r="C444" s="17" t="s">
        <v>483</v>
      </c>
      <c r="D444" s="16"/>
      <c r="E444" s="16">
        <v>2844000</v>
      </c>
      <c r="F444" s="18">
        <f t="shared" si="18"/>
        <v>-380710</v>
      </c>
    </row>
    <row r="445" spans="1:6" ht="14.25" customHeight="1" x14ac:dyDescent="0.2">
      <c r="A445" s="19">
        <v>409</v>
      </c>
      <c r="B445" s="14">
        <v>45350</v>
      </c>
      <c r="C445" s="17" t="s">
        <v>490</v>
      </c>
      <c r="D445" s="16">
        <v>500000</v>
      </c>
      <c r="E445" s="16"/>
      <c r="F445" s="18">
        <f t="shared" si="18"/>
        <v>119290</v>
      </c>
    </row>
    <row r="446" spans="1:6" ht="14.25" customHeight="1" x14ac:dyDescent="0.2">
      <c r="A446" s="19">
        <v>410</v>
      </c>
      <c r="B446" s="14">
        <v>45353</v>
      </c>
      <c r="C446" s="17" t="s">
        <v>481</v>
      </c>
      <c r="D446" s="16">
        <v>5000000</v>
      </c>
      <c r="E446" s="16"/>
      <c r="F446" s="18">
        <f t="shared" si="18"/>
        <v>5119290</v>
      </c>
    </row>
    <row r="447" spans="1:6" ht="14.25" customHeight="1" x14ac:dyDescent="0.2">
      <c r="A447" s="19">
        <v>411</v>
      </c>
      <c r="B447" s="14">
        <v>45353</v>
      </c>
      <c r="C447" s="17" t="s">
        <v>482</v>
      </c>
      <c r="D447" s="16"/>
      <c r="E447" s="16">
        <v>1500000</v>
      </c>
      <c r="F447" s="18">
        <f t="shared" si="18"/>
        <v>3619290</v>
      </c>
    </row>
    <row r="448" spans="1:6" ht="14.25" customHeight="1" x14ac:dyDescent="0.2">
      <c r="A448" s="19">
        <v>412</v>
      </c>
      <c r="B448" s="14">
        <v>45354</v>
      </c>
      <c r="C448" s="17" t="s">
        <v>377</v>
      </c>
      <c r="D448" s="16"/>
      <c r="E448" s="16">
        <v>850000</v>
      </c>
      <c r="F448" s="18">
        <f t="shared" si="18"/>
        <v>2769290</v>
      </c>
    </row>
    <row r="449" spans="1:6" ht="14.25" customHeight="1" x14ac:dyDescent="0.2">
      <c r="A449" s="19">
        <v>413</v>
      </c>
      <c r="B449" s="14">
        <v>45354</v>
      </c>
      <c r="C449" s="17" t="s">
        <v>484</v>
      </c>
      <c r="D449" s="16">
        <v>739000</v>
      </c>
      <c r="E449" s="16"/>
      <c r="F449" s="18">
        <f t="shared" si="18"/>
        <v>3508290</v>
      </c>
    </row>
    <row r="450" spans="1:6" ht="14.25" customHeight="1" x14ac:dyDescent="0.2">
      <c r="A450" s="19">
        <v>414</v>
      </c>
      <c r="B450" s="14">
        <v>45355</v>
      </c>
      <c r="C450" s="17" t="s">
        <v>485</v>
      </c>
      <c r="D450" s="16"/>
      <c r="E450" s="16">
        <v>60000</v>
      </c>
      <c r="F450" s="18">
        <f t="shared" si="18"/>
        <v>3448290</v>
      </c>
    </row>
    <row r="451" spans="1:6" ht="14.25" customHeight="1" x14ac:dyDescent="0.2">
      <c r="A451" s="19">
        <v>415</v>
      </c>
      <c r="B451" s="14">
        <v>45358</v>
      </c>
      <c r="C451" s="17" t="s">
        <v>80</v>
      </c>
      <c r="D451" s="16"/>
      <c r="E451" s="16">
        <v>1000000</v>
      </c>
      <c r="F451" s="18">
        <f t="shared" si="18"/>
        <v>2448290</v>
      </c>
    </row>
    <row r="452" spans="1:6" ht="14.25" customHeight="1" x14ac:dyDescent="0.2">
      <c r="A452" s="19">
        <v>416</v>
      </c>
      <c r="B452" s="14">
        <v>45362</v>
      </c>
      <c r="C452" s="17" t="s">
        <v>487</v>
      </c>
      <c r="D452" s="16">
        <v>1100000</v>
      </c>
      <c r="E452" s="16"/>
      <c r="F452" s="18">
        <f t="shared" si="18"/>
        <v>3548290</v>
      </c>
    </row>
    <row r="453" spans="1:6" ht="14.25" customHeight="1" x14ac:dyDescent="0.2">
      <c r="A453" s="19">
        <v>417</v>
      </c>
      <c r="B453" s="14">
        <v>45367</v>
      </c>
      <c r="C453" s="17" t="s">
        <v>498</v>
      </c>
      <c r="D453" s="16">
        <v>2840000</v>
      </c>
      <c r="E453" s="16"/>
      <c r="F453" s="18">
        <f>F452+D453-E453</f>
        <v>6388290</v>
      </c>
    </row>
    <row r="454" spans="1:6" ht="14.25" customHeight="1" x14ac:dyDescent="0.2">
      <c r="A454" s="19">
        <v>418</v>
      </c>
      <c r="B454" s="14">
        <v>45367</v>
      </c>
      <c r="C454" s="17" t="s">
        <v>500</v>
      </c>
      <c r="D454" s="16"/>
      <c r="E454" s="16">
        <v>750000</v>
      </c>
      <c r="F454" s="18">
        <f t="shared" ref="F454:F524" si="19">F453+D454-E454</f>
        <v>5638290</v>
      </c>
    </row>
    <row r="455" spans="1:6" ht="14.25" customHeight="1" x14ac:dyDescent="0.2">
      <c r="A455" s="19">
        <v>419</v>
      </c>
      <c r="B455" s="14">
        <v>45368</v>
      </c>
      <c r="C455" s="17" t="s">
        <v>501</v>
      </c>
      <c r="D455" s="16"/>
      <c r="E455" s="16">
        <v>750000</v>
      </c>
      <c r="F455" s="18">
        <f t="shared" si="19"/>
        <v>4888290</v>
      </c>
    </row>
    <row r="456" spans="1:6" ht="14.25" customHeight="1" x14ac:dyDescent="0.2">
      <c r="A456" s="19">
        <v>420</v>
      </c>
      <c r="B456" s="14">
        <v>45374</v>
      </c>
      <c r="C456" s="17" t="s">
        <v>502</v>
      </c>
      <c r="D456" s="16"/>
      <c r="E456" s="16">
        <v>750000</v>
      </c>
      <c r="F456" s="18">
        <f t="shared" si="19"/>
        <v>4138290</v>
      </c>
    </row>
    <row r="457" spans="1:6" ht="14.25" customHeight="1" x14ac:dyDescent="0.2">
      <c r="A457" s="19">
        <v>421</v>
      </c>
      <c r="B457" s="14">
        <v>45375</v>
      </c>
      <c r="C457" s="17" t="s">
        <v>503</v>
      </c>
      <c r="D457" s="16">
        <v>2748000</v>
      </c>
      <c r="E457" s="16"/>
      <c r="F457" s="18">
        <f t="shared" si="19"/>
        <v>6886290</v>
      </c>
    </row>
    <row r="458" spans="1:6" ht="14.25" customHeight="1" x14ac:dyDescent="0.2">
      <c r="A458" s="19">
        <v>422</v>
      </c>
      <c r="B458" s="14">
        <v>45379</v>
      </c>
      <c r="C458" s="17" t="s">
        <v>510</v>
      </c>
      <c r="D458" s="16">
        <v>500000</v>
      </c>
      <c r="E458" s="16"/>
      <c r="F458" s="18">
        <f t="shared" si="19"/>
        <v>7386290</v>
      </c>
    </row>
    <row r="459" spans="1:6" ht="14.25" customHeight="1" x14ac:dyDescent="0.2">
      <c r="A459" s="19">
        <v>423</v>
      </c>
      <c r="B459" s="14">
        <v>45380</v>
      </c>
      <c r="C459" s="17" t="s">
        <v>505</v>
      </c>
      <c r="D459" s="16">
        <v>1426000</v>
      </c>
      <c r="E459" s="16"/>
      <c r="F459" s="18">
        <f t="shared" si="19"/>
        <v>8812290</v>
      </c>
    </row>
    <row r="460" spans="1:6" ht="14.25" customHeight="1" x14ac:dyDescent="0.2">
      <c r="A460" s="19">
        <v>424</v>
      </c>
      <c r="B460" s="14">
        <v>45381</v>
      </c>
      <c r="C460" s="17" t="s">
        <v>132</v>
      </c>
      <c r="D460" s="16"/>
      <c r="E460" s="16">
        <v>600000</v>
      </c>
      <c r="F460" s="18">
        <f t="shared" si="19"/>
        <v>8212290</v>
      </c>
    </row>
    <row r="461" spans="1:6" ht="14.25" customHeight="1" x14ac:dyDescent="0.2">
      <c r="A461" s="19">
        <v>425</v>
      </c>
      <c r="B461" s="14">
        <v>45387</v>
      </c>
      <c r="C461" s="17" t="s">
        <v>517</v>
      </c>
      <c r="D461" s="16"/>
      <c r="E461" s="16">
        <v>500000</v>
      </c>
      <c r="F461" s="18">
        <f t="shared" si="19"/>
        <v>7712290</v>
      </c>
    </row>
    <row r="462" spans="1:6" ht="14.25" customHeight="1" x14ac:dyDescent="0.2">
      <c r="A462" s="19">
        <v>426</v>
      </c>
      <c r="B462" s="14">
        <v>45401</v>
      </c>
      <c r="C462" s="17" t="s">
        <v>506</v>
      </c>
      <c r="D462" s="16"/>
      <c r="E462" s="16">
        <v>500000</v>
      </c>
      <c r="F462" s="18">
        <f t="shared" si="19"/>
        <v>7212290</v>
      </c>
    </row>
    <row r="463" spans="1:6" ht="14.25" customHeight="1" x14ac:dyDescent="0.2">
      <c r="A463" s="19">
        <v>427</v>
      </c>
      <c r="B463" s="14">
        <v>45402</v>
      </c>
      <c r="C463" s="17" t="s">
        <v>508</v>
      </c>
      <c r="D463" s="16">
        <v>4020000</v>
      </c>
      <c r="E463" s="16"/>
      <c r="F463" s="18">
        <f t="shared" si="19"/>
        <v>11232290</v>
      </c>
    </row>
    <row r="464" spans="1:6" ht="14.25" customHeight="1" x14ac:dyDescent="0.2">
      <c r="A464" s="19">
        <v>428</v>
      </c>
      <c r="B464" s="14">
        <v>45407</v>
      </c>
      <c r="C464" s="17" t="s">
        <v>509</v>
      </c>
      <c r="D464" s="16"/>
      <c r="E464" s="16">
        <v>600000</v>
      </c>
      <c r="F464" s="18">
        <f t="shared" si="19"/>
        <v>10632290</v>
      </c>
    </row>
    <row r="465" spans="1:6" ht="14.25" customHeight="1" x14ac:dyDescent="0.2">
      <c r="A465" s="19">
        <v>429</v>
      </c>
      <c r="B465" s="14">
        <v>45411</v>
      </c>
      <c r="C465" s="17" t="s">
        <v>511</v>
      </c>
      <c r="D465" s="16">
        <v>500000</v>
      </c>
      <c r="E465" s="16"/>
      <c r="F465" s="18">
        <f t="shared" si="19"/>
        <v>11132290</v>
      </c>
    </row>
    <row r="466" spans="1:6" ht="14.25" customHeight="1" x14ac:dyDescent="0.2">
      <c r="A466" s="19">
        <v>430</v>
      </c>
      <c r="B466" s="14">
        <v>45412</v>
      </c>
      <c r="C466" s="17" t="s">
        <v>512</v>
      </c>
      <c r="D466" s="16"/>
      <c r="E466" s="16">
        <v>1250000</v>
      </c>
      <c r="F466" s="18">
        <f t="shared" si="19"/>
        <v>9882290</v>
      </c>
    </row>
    <row r="467" spans="1:6" ht="14.25" customHeight="1" x14ac:dyDescent="0.2">
      <c r="A467" s="19">
        <v>431</v>
      </c>
      <c r="B467" s="14">
        <v>45417</v>
      </c>
      <c r="C467" s="17" t="s">
        <v>329</v>
      </c>
      <c r="D467" s="16">
        <v>1462000</v>
      </c>
      <c r="E467" s="16"/>
      <c r="F467" s="18">
        <f t="shared" si="19"/>
        <v>11344290</v>
      </c>
    </row>
    <row r="468" spans="1:6" ht="14.25" customHeight="1" x14ac:dyDescent="0.2">
      <c r="A468" s="19">
        <v>432</v>
      </c>
      <c r="B468" s="14">
        <v>45441</v>
      </c>
      <c r="C468" s="17" t="s">
        <v>335</v>
      </c>
      <c r="D468" s="16"/>
      <c r="E468" s="16">
        <v>600000</v>
      </c>
      <c r="F468" s="18">
        <f t="shared" si="19"/>
        <v>10744290</v>
      </c>
    </row>
    <row r="469" spans="1:6" ht="14.25" customHeight="1" x14ac:dyDescent="0.2">
      <c r="A469" s="19">
        <v>433</v>
      </c>
      <c r="B469" s="14">
        <v>45440</v>
      </c>
      <c r="C469" s="17" t="s">
        <v>516</v>
      </c>
      <c r="D469" s="16">
        <v>500000</v>
      </c>
      <c r="E469" s="16"/>
      <c r="F469" s="18">
        <f t="shared" si="19"/>
        <v>11244290</v>
      </c>
    </row>
    <row r="470" spans="1:6" ht="14.25" customHeight="1" x14ac:dyDescent="0.2">
      <c r="A470" s="19">
        <v>434</v>
      </c>
      <c r="B470" s="14">
        <v>45442</v>
      </c>
      <c r="C470" s="17" t="s">
        <v>514</v>
      </c>
      <c r="D470" s="16"/>
      <c r="E470" s="16">
        <v>1250000</v>
      </c>
      <c r="F470" s="18">
        <f t="shared" si="19"/>
        <v>9994290</v>
      </c>
    </row>
    <row r="471" spans="1:6" ht="14.25" customHeight="1" x14ac:dyDescent="0.2">
      <c r="A471" s="19">
        <v>435</v>
      </c>
      <c r="B471" s="14">
        <v>45445</v>
      </c>
      <c r="C471" s="17" t="s">
        <v>80</v>
      </c>
      <c r="D471" s="16"/>
      <c r="E471" s="16">
        <v>1003000</v>
      </c>
      <c r="F471" s="18">
        <f t="shared" si="19"/>
        <v>8991290</v>
      </c>
    </row>
    <row r="472" spans="1:6" ht="14.25" customHeight="1" x14ac:dyDescent="0.2">
      <c r="A472" s="19">
        <v>436</v>
      </c>
      <c r="B472" s="14">
        <v>45459</v>
      </c>
      <c r="C472" s="17" t="s">
        <v>515</v>
      </c>
      <c r="D472" s="16">
        <v>3907000</v>
      </c>
      <c r="E472" s="16"/>
      <c r="F472" s="18">
        <f t="shared" si="19"/>
        <v>12898290</v>
      </c>
    </row>
    <row r="473" spans="1:6" ht="14.25" customHeight="1" x14ac:dyDescent="0.2">
      <c r="A473" s="19">
        <v>437</v>
      </c>
      <c r="B473" s="14">
        <v>45460</v>
      </c>
      <c r="C473" s="17" t="s">
        <v>518</v>
      </c>
      <c r="D473" s="16"/>
      <c r="E473" s="16">
        <v>1000000</v>
      </c>
      <c r="F473" s="18">
        <f t="shared" si="19"/>
        <v>11898290</v>
      </c>
    </row>
    <row r="474" spans="1:6" ht="14.25" customHeight="1" x14ac:dyDescent="0.2">
      <c r="A474" s="19">
        <v>438</v>
      </c>
      <c r="B474" s="14">
        <v>45468</v>
      </c>
      <c r="C474" s="17" t="s">
        <v>462</v>
      </c>
      <c r="D474" s="16"/>
      <c r="E474" s="16">
        <v>600000</v>
      </c>
      <c r="F474" s="18">
        <f t="shared" si="19"/>
        <v>11298290</v>
      </c>
    </row>
    <row r="475" spans="1:6" ht="14.25" customHeight="1" x14ac:dyDescent="0.2">
      <c r="A475" s="19">
        <v>439</v>
      </c>
      <c r="B475" s="14">
        <v>45471</v>
      </c>
      <c r="C475" s="17" t="s">
        <v>523</v>
      </c>
      <c r="D475" s="16">
        <v>500000</v>
      </c>
      <c r="E475" s="16"/>
      <c r="F475" s="18">
        <f t="shared" si="19"/>
        <v>11798290</v>
      </c>
    </row>
    <row r="476" spans="1:6" ht="14.25" customHeight="1" x14ac:dyDescent="0.2">
      <c r="A476" s="19">
        <v>440</v>
      </c>
      <c r="B476" s="14">
        <v>45474</v>
      </c>
      <c r="C476" s="17" t="s">
        <v>519</v>
      </c>
      <c r="D476" s="16"/>
      <c r="E476" s="16">
        <v>1100000</v>
      </c>
      <c r="F476" s="18">
        <f t="shared" si="19"/>
        <v>10698290</v>
      </c>
    </row>
    <row r="477" spans="1:6" ht="14.25" customHeight="1" x14ac:dyDescent="0.2">
      <c r="A477" s="19">
        <v>441</v>
      </c>
      <c r="B477" s="14">
        <v>45478</v>
      </c>
      <c r="C477" s="17" t="s">
        <v>520</v>
      </c>
      <c r="D477" s="16"/>
      <c r="E477" s="16">
        <v>1500000</v>
      </c>
      <c r="F477" s="18">
        <f t="shared" si="19"/>
        <v>9198290</v>
      </c>
    </row>
    <row r="478" spans="1:6" ht="14.25" customHeight="1" x14ac:dyDescent="0.2">
      <c r="A478" s="19">
        <v>442</v>
      </c>
      <c r="B478" s="14">
        <v>45493</v>
      </c>
      <c r="C478" s="17" t="s">
        <v>80</v>
      </c>
      <c r="D478" s="16"/>
      <c r="E478" s="16">
        <v>1000000</v>
      </c>
      <c r="F478" s="18">
        <f t="shared" si="19"/>
        <v>8198290</v>
      </c>
    </row>
    <row r="479" spans="1:6" ht="14.25" customHeight="1" x14ac:dyDescent="0.2">
      <c r="A479" s="19">
        <v>443</v>
      </c>
      <c r="B479" s="14">
        <v>45497</v>
      </c>
      <c r="C479" s="17" t="s">
        <v>522</v>
      </c>
      <c r="D479" s="16"/>
      <c r="E479" s="16">
        <v>500000</v>
      </c>
      <c r="F479" s="18">
        <f t="shared" si="19"/>
        <v>7698290</v>
      </c>
    </row>
    <row r="480" spans="1:6" ht="14.25" customHeight="1" x14ac:dyDescent="0.2">
      <c r="A480" s="19">
        <v>444</v>
      </c>
      <c r="B480" s="14">
        <v>45498</v>
      </c>
      <c r="C480" s="17" t="s">
        <v>521</v>
      </c>
      <c r="D480" s="16"/>
      <c r="E480" s="16">
        <v>600000</v>
      </c>
      <c r="F480" s="18">
        <f t="shared" si="19"/>
        <v>7098290</v>
      </c>
    </row>
    <row r="481" spans="1:6" ht="14.25" customHeight="1" x14ac:dyDescent="0.2">
      <c r="A481" s="19">
        <v>445</v>
      </c>
      <c r="B481" s="14">
        <v>45500</v>
      </c>
      <c r="C481" s="17" t="s">
        <v>524</v>
      </c>
      <c r="D481" s="16">
        <v>500000</v>
      </c>
      <c r="E481" s="16"/>
      <c r="F481" s="18">
        <f t="shared" si="19"/>
        <v>7598290</v>
      </c>
    </row>
    <row r="482" spans="1:6" ht="14.25" customHeight="1" x14ac:dyDescent="0.2">
      <c r="A482" s="19">
        <v>446</v>
      </c>
      <c r="B482" s="14">
        <v>45515</v>
      </c>
      <c r="C482" s="17" t="s">
        <v>525</v>
      </c>
      <c r="D482" s="16">
        <v>7915000</v>
      </c>
      <c r="E482" s="16"/>
      <c r="F482" s="18">
        <f t="shared" si="19"/>
        <v>15513290</v>
      </c>
    </row>
    <row r="483" spans="1:6" ht="14.25" customHeight="1" x14ac:dyDescent="0.2">
      <c r="A483" s="19">
        <v>447</v>
      </c>
      <c r="B483" s="14">
        <v>45529</v>
      </c>
      <c r="C483" s="17" t="s">
        <v>527</v>
      </c>
      <c r="D483" s="16"/>
      <c r="E483" s="16">
        <v>600000</v>
      </c>
      <c r="F483" s="18">
        <f t="shared" si="19"/>
        <v>14913290</v>
      </c>
    </row>
    <row r="484" spans="1:6" ht="14.25" customHeight="1" x14ac:dyDescent="0.2">
      <c r="A484" s="19">
        <v>448</v>
      </c>
      <c r="B484" s="14">
        <v>45531</v>
      </c>
      <c r="C484" s="17" t="s">
        <v>530</v>
      </c>
      <c r="D484" s="16">
        <v>500000</v>
      </c>
      <c r="E484" s="16"/>
      <c r="F484" s="18">
        <f t="shared" si="19"/>
        <v>15413290</v>
      </c>
    </row>
    <row r="485" spans="1:6" ht="14.25" customHeight="1" x14ac:dyDescent="0.2">
      <c r="A485" s="19">
        <v>449</v>
      </c>
      <c r="B485" s="14">
        <v>45534</v>
      </c>
      <c r="C485" s="17" t="s">
        <v>426</v>
      </c>
      <c r="D485" s="16"/>
      <c r="E485" s="16">
        <v>500000</v>
      </c>
      <c r="F485" s="18">
        <f t="shared" si="19"/>
        <v>14913290</v>
      </c>
    </row>
    <row r="486" spans="1:6" ht="14.25" customHeight="1" x14ac:dyDescent="0.2">
      <c r="A486" s="19">
        <v>450</v>
      </c>
      <c r="B486" s="14">
        <v>45535</v>
      </c>
      <c r="C486" s="17" t="s">
        <v>528</v>
      </c>
      <c r="D486" s="16"/>
      <c r="E486" s="16">
        <v>1400000</v>
      </c>
      <c r="F486" s="18">
        <f t="shared" si="19"/>
        <v>13513290</v>
      </c>
    </row>
    <row r="487" spans="1:6" ht="14.25" customHeight="1" x14ac:dyDescent="0.2">
      <c r="A487" s="19">
        <v>451</v>
      </c>
      <c r="B487" s="14">
        <v>45540</v>
      </c>
      <c r="C487" s="17" t="s">
        <v>529</v>
      </c>
      <c r="D487" s="16"/>
      <c r="E487" s="16">
        <v>1000000</v>
      </c>
      <c r="F487" s="18">
        <f t="shared" si="19"/>
        <v>12513290</v>
      </c>
    </row>
    <row r="488" spans="1:6" ht="14.25" customHeight="1" x14ac:dyDescent="0.2">
      <c r="A488" s="19">
        <v>452</v>
      </c>
      <c r="B488" s="14">
        <v>45547</v>
      </c>
      <c r="C488" s="17" t="s">
        <v>328</v>
      </c>
      <c r="D488" s="16"/>
      <c r="E488" s="16">
        <v>1000000</v>
      </c>
      <c r="F488" s="18">
        <f t="shared" si="19"/>
        <v>11513290</v>
      </c>
    </row>
    <row r="489" spans="1:6" ht="14.25" customHeight="1" x14ac:dyDescent="0.2">
      <c r="A489" s="19">
        <v>453</v>
      </c>
      <c r="B489" s="14">
        <v>45550</v>
      </c>
      <c r="C489" s="17" t="s">
        <v>536</v>
      </c>
      <c r="D489" s="16"/>
      <c r="E489" s="16">
        <v>450000</v>
      </c>
      <c r="F489" s="18">
        <f t="shared" si="19"/>
        <v>11063290</v>
      </c>
    </row>
    <row r="490" spans="1:6" ht="14.25" customHeight="1" x14ac:dyDescent="0.2">
      <c r="A490" s="19">
        <v>454</v>
      </c>
      <c r="B490" s="14">
        <v>45552</v>
      </c>
      <c r="C490" s="17" t="s">
        <v>531</v>
      </c>
      <c r="D490" s="16"/>
      <c r="E490" s="16">
        <v>2630000</v>
      </c>
      <c r="F490" s="18">
        <f t="shared" si="19"/>
        <v>8433290</v>
      </c>
    </row>
    <row r="491" spans="1:6" ht="14.25" customHeight="1" x14ac:dyDescent="0.2">
      <c r="A491" s="19">
        <v>455</v>
      </c>
      <c r="B491" s="14">
        <v>45556</v>
      </c>
      <c r="C491" s="17" t="s">
        <v>532</v>
      </c>
      <c r="D491" s="16"/>
      <c r="E491" s="16">
        <v>2000000</v>
      </c>
      <c r="F491" s="18">
        <f t="shared" si="19"/>
        <v>6433290</v>
      </c>
    </row>
    <row r="492" spans="1:6" ht="14.25" customHeight="1" x14ac:dyDescent="0.2">
      <c r="A492" s="19">
        <v>456</v>
      </c>
      <c r="B492" s="14">
        <v>45556</v>
      </c>
      <c r="C492" s="17" t="s">
        <v>533</v>
      </c>
      <c r="D492" s="16"/>
      <c r="E492" s="16">
        <v>1500000</v>
      </c>
      <c r="F492" s="18">
        <f t="shared" si="19"/>
        <v>4933290</v>
      </c>
    </row>
    <row r="493" spans="1:6" ht="14.25" customHeight="1" x14ac:dyDescent="0.2">
      <c r="A493" s="19">
        <v>457</v>
      </c>
      <c r="B493" s="14">
        <v>45558</v>
      </c>
      <c r="C493" s="17" t="s">
        <v>534</v>
      </c>
      <c r="D493" s="16"/>
      <c r="E493" s="16">
        <v>5260000</v>
      </c>
      <c r="F493" s="18">
        <f t="shared" si="19"/>
        <v>-326710</v>
      </c>
    </row>
    <row r="494" spans="1:6" ht="14.25" customHeight="1" x14ac:dyDescent="0.2">
      <c r="A494" s="19">
        <v>458</v>
      </c>
      <c r="B494" s="14">
        <v>45558</v>
      </c>
      <c r="C494" s="17" t="s">
        <v>537</v>
      </c>
      <c r="D494" s="16">
        <v>3000000</v>
      </c>
      <c r="E494" s="16"/>
      <c r="F494" s="18">
        <f t="shared" si="19"/>
        <v>2673290</v>
      </c>
    </row>
    <row r="495" spans="1:6" ht="14.25" customHeight="1" x14ac:dyDescent="0.2">
      <c r="A495" s="19">
        <v>459</v>
      </c>
      <c r="B495" s="14">
        <v>45560</v>
      </c>
      <c r="C495" s="17" t="s">
        <v>467</v>
      </c>
      <c r="D495" s="16"/>
      <c r="E495" s="16">
        <v>600000</v>
      </c>
      <c r="F495" s="18">
        <f t="shared" si="19"/>
        <v>2073290</v>
      </c>
    </row>
    <row r="496" spans="1:6" ht="14.25" customHeight="1" x14ac:dyDescent="0.2">
      <c r="A496" s="19">
        <v>460</v>
      </c>
      <c r="B496" s="14">
        <v>45563</v>
      </c>
      <c r="C496" s="17" t="s">
        <v>538</v>
      </c>
      <c r="D496" s="16">
        <v>500000</v>
      </c>
      <c r="E496" s="16"/>
      <c r="F496" s="18">
        <f t="shared" si="19"/>
        <v>2573290</v>
      </c>
    </row>
    <row r="497" spans="1:6" ht="14.25" customHeight="1" x14ac:dyDescent="0.2">
      <c r="A497" s="19">
        <v>461</v>
      </c>
      <c r="B497" s="14">
        <v>45565</v>
      </c>
      <c r="C497" s="17" t="s">
        <v>528</v>
      </c>
      <c r="D497" s="16"/>
      <c r="E497" s="16">
        <v>1200000</v>
      </c>
      <c r="F497" s="18">
        <f t="shared" si="19"/>
        <v>1373290</v>
      </c>
    </row>
    <row r="498" spans="1:6" ht="14.25" customHeight="1" x14ac:dyDescent="0.2">
      <c r="A498" s="19">
        <v>462</v>
      </c>
      <c r="B498" s="14">
        <v>45569</v>
      </c>
      <c r="C498" s="17" t="s">
        <v>328</v>
      </c>
      <c r="D498" s="16"/>
      <c r="E498" s="16">
        <v>500000</v>
      </c>
      <c r="F498" s="18">
        <f t="shared" si="19"/>
        <v>873290</v>
      </c>
    </row>
    <row r="499" spans="1:6" ht="14.25" customHeight="1" x14ac:dyDescent="0.2">
      <c r="A499" s="19">
        <v>463</v>
      </c>
      <c r="B499" s="14">
        <v>45570</v>
      </c>
      <c r="C499" s="17" t="s">
        <v>329</v>
      </c>
      <c r="D499" s="16">
        <v>2850000</v>
      </c>
      <c r="E499" s="16"/>
      <c r="F499" s="18">
        <f t="shared" si="19"/>
        <v>3723290</v>
      </c>
    </row>
    <row r="500" spans="1:6" ht="14.25" customHeight="1" x14ac:dyDescent="0.2">
      <c r="A500" s="19">
        <v>464</v>
      </c>
      <c r="B500" s="14">
        <v>45581</v>
      </c>
      <c r="C500" s="17" t="s">
        <v>80</v>
      </c>
      <c r="D500" s="16"/>
      <c r="E500" s="16">
        <v>500000</v>
      </c>
      <c r="F500" s="18">
        <f t="shared" si="19"/>
        <v>3223290</v>
      </c>
    </row>
    <row r="501" spans="1:6" ht="14.25" customHeight="1" x14ac:dyDescent="0.2">
      <c r="A501" s="19">
        <v>465</v>
      </c>
      <c r="B501" s="14">
        <v>45584</v>
      </c>
      <c r="C501" s="17" t="s">
        <v>539</v>
      </c>
      <c r="D501" s="16"/>
      <c r="E501" s="16">
        <v>500000</v>
      </c>
      <c r="F501" s="18">
        <f t="shared" si="19"/>
        <v>2723290</v>
      </c>
    </row>
    <row r="502" spans="1:6" ht="14.25" customHeight="1" x14ac:dyDescent="0.2">
      <c r="A502" s="19">
        <v>466</v>
      </c>
      <c r="B502" s="14">
        <v>45591</v>
      </c>
      <c r="C502" s="17" t="s">
        <v>540</v>
      </c>
      <c r="D502" s="16"/>
      <c r="E502" s="16">
        <v>600000</v>
      </c>
      <c r="F502" s="18">
        <f t="shared" si="19"/>
        <v>2123290</v>
      </c>
    </row>
    <row r="503" spans="1:6" ht="14.25" customHeight="1" x14ac:dyDescent="0.2">
      <c r="A503" s="19">
        <v>467</v>
      </c>
      <c r="B503" s="14">
        <v>45591</v>
      </c>
      <c r="C503" s="17" t="s">
        <v>329</v>
      </c>
      <c r="D503" s="16">
        <v>1002000</v>
      </c>
      <c r="E503" s="16"/>
      <c r="F503" s="18">
        <f t="shared" si="19"/>
        <v>3125290</v>
      </c>
    </row>
    <row r="504" spans="1:6" ht="14.25" customHeight="1" x14ac:dyDescent="0.2">
      <c r="A504" s="19">
        <v>468</v>
      </c>
      <c r="B504" s="14">
        <v>45595</v>
      </c>
      <c r="C504" s="17" t="s">
        <v>545</v>
      </c>
      <c r="D504" s="16">
        <v>500000</v>
      </c>
      <c r="E504" s="16"/>
      <c r="F504" s="18">
        <f t="shared" si="19"/>
        <v>3625290</v>
      </c>
    </row>
    <row r="505" spans="1:6" ht="14.25" customHeight="1" x14ac:dyDescent="0.2">
      <c r="A505" s="19">
        <v>469</v>
      </c>
      <c r="B505" s="14">
        <v>45596</v>
      </c>
      <c r="C505" s="17" t="s">
        <v>544</v>
      </c>
      <c r="D505" s="16"/>
      <c r="E505" s="16">
        <v>1150000</v>
      </c>
      <c r="F505" s="18">
        <f t="shared" si="19"/>
        <v>2475290</v>
      </c>
    </row>
    <row r="506" spans="1:6" ht="14.25" customHeight="1" x14ac:dyDescent="0.2">
      <c r="A506" s="19">
        <v>470</v>
      </c>
      <c r="B506" s="14">
        <v>45601</v>
      </c>
      <c r="C506" s="17" t="s">
        <v>546</v>
      </c>
      <c r="D506" s="16"/>
      <c r="E506" s="16">
        <v>500000</v>
      </c>
      <c r="F506" s="18">
        <f t="shared" si="19"/>
        <v>1975290</v>
      </c>
    </row>
    <row r="507" spans="1:6" ht="14.25" customHeight="1" x14ac:dyDescent="0.2">
      <c r="A507" s="19">
        <v>471</v>
      </c>
      <c r="B507" s="14">
        <v>45606</v>
      </c>
      <c r="C507" s="17" t="s">
        <v>329</v>
      </c>
      <c r="D507" s="16">
        <v>1082000</v>
      </c>
      <c r="E507" s="16"/>
      <c r="F507" s="18">
        <f t="shared" si="19"/>
        <v>3057290</v>
      </c>
    </row>
    <row r="508" spans="1:6" ht="14.25" customHeight="1" x14ac:dyDescent="0.2">
      <c r="A508" s="19">
        <v>472</v>
      </c>
      <c r="B508" s="14">
        <v>45610</v>
      </c>
      <c r="C508" s="17" t="s">
        <v>548</v>
      </c>
      <c r="D508" s="16"/>
      <c r="E508" s="16">
        <v>500000</v>
      </c>
      <c r="F508" s="18">
        <f t="shared" si="19"/>
        <v>2557290</v>
      </c>
    </row>
    <row r="509" spans="1:6" ht="14.25" customHeight="1" x14ac:dyDescent="0.2">
      <c r="A509" s="19">
        <v>473</v>
      </c>
      <c r="B509" s="14">
        <v>45611</v>
      </c>
      <c r="C509" s="17" t="s">
        <v>547</v>
      </c>
      <c r="D509" s="16"/>
      <c r="E509" s="16">
        <v>1000000</v>
      </c>
      <c r="F509" s="18">
        <f t="shared" si="19"/>
        <v>1557290</v>
      </c>
    </row>
    <row r="510" spans="1:6" ht="14.25" customHeight="1" x14ac:dyDescent="0.2">
      <c r="A510" s="19">
        <v>474</v>
      </c>
      <c r="B510" s="14">
        <v>45622</v>
      </c>
      <c r="C510" s="17" t="s">
        <v>549</v>
      </c>
      <c r="D510" s="16"/>
      <c r="E510" s="16">
        <v>600000</v>
      </c>
      <c r="F510" s="18">
        <f t="shared" si="19"/>
        <v>957290</v>
      </c>
    </row>
    <row r="511" spans="1:6" ht="14.25" customHeight="1" x14ac:dyDescent="0.2">
      <c r="A511" s="19">
        <v>475</v>
      </c>
      <c r="B511" s="14">
        <v>45623</v>
      </c>
      <c r="C511" s="17" t="s">
        <v>329</v>
      </c>
      <c r="D511" s="16">
        <v>1158000</v>
      </c>
      <c r="E511" s="16"/>
      <c r="F511" s="18">
        <f t="shared" si="19"/>
        <v>2115290</v>
      </c>
    </row>
    <row r="512" spans="1:6" ht="14.25" customHeight="1" x14ac:dyDescent="0.2">
      <c r="A512" s="19">
        <v>476</v>
      </c>
      <c r="B512" s="14">
        <v>45624</v>
      </c>
      <c r="C512" s="17" t="s">
        <v>551</v>
      </c>
      <c r="D512" s="16">
        <v>500000</v>
      </c>
      <c r="E512" s="16"/>
      <c r="F512" s="18">
        <f t="shared" si="19"/>
        <v>2615290</v>
      </c>
    </row>
    <row r="513" spans="1:6" ht="14.25" customHeight="1" x14ac:dyDescent="0.2">
      <c r="A513" s="19">
        <v>477</v>
      </c>
      <c r="B513" s="14">
        <v>45626</v>
      </c>
      <c r="C513" s="17" t="s">
        <v>554</v>
      </c>
      <c r="D513" s="16"/>
      <c r="E513" s="16">
        <v>1200000</v>
      </c>
      <c r="F513" s="18">
        <f t="shared" si="19"/>
        <v>1415290</v>
      </c>
    </row>
    <row r="514" spans="1:6" ht="14.25" customHeight="1" x14ac:dyDescent="0.2">
      <c r="A514" s="19">
        <v>478</v>
      </c>
      <c r="B514" s="14">
        <v>45651</v>
      </c>
      <c r="C514" s="17" t="s">
        <v>550</v>
      </c>
      <c r="D514" s="16"/>
      <c r="E514" s="16">
        <v>600000</v>
      </c>
      <c r="F514" s="18">
        <f t="shared" si="19"/>
        <v>815290</v>
      </c>
    </row>
    <row r="515" spans="1:6" ht="14.25" customHeight="1" x14ac:dyDescent="0.2">
      <c r="A515" s="19">
        <v>479</v>
      </c>
      <c r="B515" s="14">
        <v>45654</v>
      </c>
      <c r="C515" s="17" t="s">
        <v>552</v>
      </c>
      <c r="D515" s="16">
        <v>500000</v>
      </c>
      <c r="E515" s="16"/>
      <c r="F515" s="18">
        <f t="shared" si="19"/>
        <v>1315290</v>
      </c>
    </row>
    <row r="516" spans="1:6" ht="14.25" customHeight="1" x14ac:dyDescent="0.2">
      <c r="A516" s="19">
        <v>480</v>
      </c>
      <c r="B516" s="14">
        <v>45656</v>
      </c>
      <c r="C516" s="17" t="s">
        <v>553</v>
      </c>
      <c r="D516" s="16"/>
      <c r="E516" s="16">
        <v>1200000</v>
      </c>
      <c r="F516" s="18">
        <f t="shared" si="19"/>
        <v>115290</v>
      </c>
    </row>
    <row r="517" spans="1:6" ht="14.25" customHeight="1" x14ac:dyDescent="0.2">
      <c r="A517" s="19">
        <v>481</v>
      </c>
      <c r="B517" s="14">
        <v>45660</v>
      </c>
      <c r="C517" s="17" t="s">
        <v>558</v>
      </c>
      <c r="D517" s="16">
        <v>2145000</v>
      </c>
      <c r="E517" s="16"/>
      <c r="F517" s="18">
        <f t="shared" si="19"/>
        <v>2260290</v>
      </c>
    </row>
    <row r="518" spans="1:6" ht="14.25" customHeight="1" x14ac:dyDescent="0.2">
      <c r="A518" s="19">
        <v>482</v>
      </c>
      <c r="B518" s="14">
        <v>45675</v>
      </c>
      <c r="C518" s="17" t="s">
        <v>557</v>
      </c>
      <c r="D518" s="16"/>
      <c r="E518" s="16">
        <v>500000</v>
      </c>
      <c r="F518" s="18">
        <f t="shared" si="19"/>
        <v>1760290</v>
      </c>
    </row>
    <row r="519" spans="1:6" ht="14.25" customHeight="1" x14ac:dyDescent="0.2">
      <c r="A519" s="19">
        <v>483</v>
      </c>
      <c r="B519" s="14">
        <v>45676</v>
      </c>
      <c r="C519" s="17" t="s">
        <v>559</v>
      </c>
      <c r="D519" s="16">
        <v>2150000</v>
      </c>
      <c r="E519" s="16"/>
      <c r="F519" s="18">
        <f t="shared" si="19"/>
        <v>3910290</v>
      </c>
    </row>
    <row r="520" spans="1:6" ht="14.25" customHeight="1" x14ac:dyDescent="0.2">
      <c r="A520" s="19">
        <v>484</v>
      </c>
      <c r="B520" s="14">
        <v>45682</v>
      </c>
      <c r="C520" s="17" t="s">
        <v>567</v>
      </c>
      <c r="D520" s="16"/>
      <c r="E520" s="16">
        <v>600000</v>
      </c>
      <c r="F520" s="18">
        <f t="shared" si="19"/>
        <v>3310290</v>
      </c>
    </row>
    <row r="521" spans="1:6" ht="14.25" customHeight="1" x14ac:dyDescent="0.2">
      <c r="A521" s="19">
        <v>485</v>
      </c>
      <c r="B521" s="14">
        <v>45684</v>
      </c>
      <c r="C521" s="17" t="s">
        <v>80</v>
      </c>
      <c r="D521" s="16"/>
      <c r="E521" s="16">
        <v>500000</v>
      </c>
      <c r="F521" s="18">
        <f t="shared" si="19"/>
        <v>2810290</v>
      </c>
    </row>
    <row r="522" spans="1:6" ht="14.25" customHeight="1" x14ac:dyDescent="0.2">
      <c r="A522" s="19">
        <v>486</v>
      </c>
      <c r="B522" s="14">
        <v>45686</v>
      </c>
      <c r="C522" s="17" t="s">
        <v>560</v>
      </c>
      <c r="D522" s="16">
        <v>500000</v>
      </c>
      <c r="E522" s="16"/>
      <c r="F522" s="18">
        <f t="shared" si="19"/>
        <v>3310290</v>
      </c>
    </row>
    <row r="523" spans="1:6" ht="14.25" customHeight="1" x14ac:dyDescent="0.2">
      <c r="A523" s="19">
        <v>487</v>
      </c>
      <c r="B523" s="14">
        <v>45687</v>
      </c>
      <c r="C523" s="17" t="s">
        <v>561</v>
      </c>
      <c r="D523" s="16"/>
      <c r="E523" s="16">
        <v>1100000</v>
      </c>
      <c r="F523" s="18">
        <f t="shared" si="19"/>
        <v>2210290</v>
      </c>
    </row>
    <row r="524" spans="1:6" ht="14.25" customHeight="1" x14ac:dyDescent="0.2">
      <c r="A524" s="19">
        <v>488</v>
      </c>
      <c r="B524" s="14">
        <v>45696</v>
      </c>
      <c r="C524" s="17" t="s">
        <v>563</v>
      </c>
      <c r="D524" s="16"/>
      <c r="E524" s="16">
        <v>500000</v>
      </c>
      <c r="F524" s="18">
        <f t="shared" si="19"/>
        <v>1710290</v>
      </c>
    </row>
    <row r="525" spans="1:6" ht="14.25" customHeight="1" x14ac:dyDescent="0.2">
      <c r="A525" s="19">
        <v>489</v>
      </c>
      <c r="B525" s="14">
        <v>45696</v>
      </c>
      <c r="C525" s="17" t="s">
        <v>564</v>
      </c>
      <c r="D525" s="16">
        <v>150000</v>
      </c>
      <c r="E525" s="16"/>
      <c r="F525" s="18">
        <f t="shared" ref="F525:F590" si="20">F524+D525-E525</f>
        <v>1860290</v>
      </c>
    </row>
    <row r="526" spans="1:6" ht="14.25" customHeight="1" x14ac:dyDescent="0.2">
      <c r="A526" s="19">
        <v>490</v>
      </c>
      <c r="B526" s="14">
        <v>45697</v>
      </c>
      <c r="C526" s="17" t="s">
        <v>565</v>
      </c>
      <c r="D526" s="16">
        <v>1610000</v>
      </c>
      <c r="E526" s="16"/>
      <c r="F526" s="18">
        <f t="shared" si="20"/>
        <v>3470290</v>
      </c>
    </row>
    <row r="527" spans="1:6" ht="14.25" customHeight="1" x14ac:dyDescent="0.2">
      <c r="A527" s="19">
        <v>491</v>
      </c>
      <c r="B527" s="14">
        <v>45702</v>
      </c>
      <c r="C527" s="17" t="s">
        <v>566</v>
      </c>
      <c r="D527" s="16"/>
      <c r="E527" s="16">
        <v>500000</v>
      </c>
      <c r="F527" s="18">
        <f t="shared" si="20"/>
        <v>2970290</v>
      </c>
    </row>
    <row r="528" spans="1:6" ht="16" x14ac:dyDescent="0.2">
      <c r="A528" s="19">
        <v>492</v>
      </c>
      <c r="B528" s="14">
        <v>45716</v>
      </c>
      <c r="C528" s="66" t="s">
        <v>568</v>
      </c>
      <c r="D528" s="16"/>
      <c r="E528" s="16">
        <v>1100000</v>
      </c>
      <c r="F528" s="18">
        <f t="shared" si="20"/>
        <v>1870290</v>
      </c>
    </row>
    <row r="529" spans="1:8" ht="14.25" customHeight="1" x14ac:dyDescent="0.2">
      <c r="A529" s="19">
        <v>493</v>
      </c>
      <c r="B529" s="14">
        <v>45716</v>
      </c>
      <c r="C529" s="66" t="s">
        <v>569</v>
      </c>
      <c r="D529" s="16">
        <v>500000</v>
      </c>
      <c r="E529" s="16"/>
      <c r="F529" s="18">
        <f t="shared" si="20"/>
        <v>2370290</v>
      </c>
    </row>
    <row r="530" spans="1:8" ht="14.25" customHeight="1" x14ac:dyDescent="0.2">
      <c r="A530" s="19">
        <v>494</v>
      </c>
      <c r="B530" s="14">
        <v>45716</v>
      </c>
      <c r="C530" s="17" t="s">
        <v>570</v>
      </c>
      <c r="D530" s="16"/>
      <c r="E530" s="16">
        <v>600000</v>
      </c>
      <c r="F530" s="18">
        <f t="shared" si="20"/>
        <v>1770290</v>
      </c>
    </row>
    <row r="531" spans="1:8" ht="14.25" customHeight="1" x14ac:dyDescent="0.2">
      <c r="A531" s="19">
        <v>495</v>
      </c>
      <c r="B531" s="14">
        <v>45717</v>
      </c>
      <c r="C531" s="17" t="s">
        <v>571</v>
      </c>
      <c r="D531" s="16">
        <v>1350000</v>
      </c>
      <c r="E531" s="16"/>
      <c r="F531" s="18">
        <f t="shared" si="20"/>
        <v>3120290</v>
      </c>
    </row>
    <row r="532" spans="1:8" ht="14.25" customHeight="1" x14ac:dyDescent="0.2">
      <c r="A532" s="19">
        <v>496</v>
      </c>
      <c r="B532" s="14">
        <v>45718</v>
      </c>
      <c r="C532" s="17" t="s">
        <v>574</v>
      </c>
      <c r="D532" s="16"/>
      <c r="E532" s="16">
        <v>750000</v>
      </c>
      <c r="F532" s="18">
        <f t="shared" si="20"/>
        <v>2370290</v>
      </c>
    </row>
    <row r="533" spans="1:8" ht="14.25" customHeight="1" x14ac:dyDescent="0.2">
      <c r="A533" s="19">
        <v>497</v>
      </c>
      <c r="B533" s="14">
        <v>45719</v>
      </c>
      <c r="C533" s="17" t="s">
        <v>575</v>
      </c>
      <c r="D533" s="16"/>
      <c r="E533" s="16">
        <v>750000</v>
      </c>
      <c r="F533" s="18">
        <f t="shared" si="20"/>
        <v>1620290</v>
      </c>
    </row>
    <row r="534" spans="1:8" ht="14.25" customHeight="1" x14ac:dyDescent="0.2">
      <c r="A534" s="19">
        <v>498</v>
      </c>
      <c r="B534" s="14">
        <v>45721</v>
      </c>
      <c r="C534" s="17" t="s">
        <v>577</v>
      </c>
      <c r="D534" s="16"/>
      <c r="E534" s="16">
        <v>750000</v>
      </c>
      <c r="F534" s="18">
        <f t="shared" si="20"/>
        <v>870290</v>
      </c>
    </row>
    <row r="535" spans="1:8" ht="14.25" customHeight="1" x14ac:dyDescent="0.2">
      <c r="A535" s="19">
        <v>499</v>
      </c>
      <c r="B535" s="14">
        <v>45724</v>
      </c>
      <c r="C535" s="17" t="s">
        <v>582</v>
      </c>
      <c r="D535" s="16"/>
      <c r="E535" s="16">
        <v>750000</v>
      </c>
      <c r="F535" s="18">
        <f t="shared" si="20"/>
        <v>120290</v>
      </c>
    </row>
    <row r="536" spans="1:8" ht="14.25" customHeight="1" x14ac:dyDescent="0.2">
      <c r="A536" s="19">
        <v>500</v>
      </c>
      <c r="B536" s="14">
        <v>45724</v>
      </c>
      <c r="C536" s="17" t="s">
        <v>576</v>
      </c>
      <c r="D536" s="16">
        <v>1920000</v>
      </c>
      <c r="E536" s="16"/>
      <c r="F536" s="18">
        <f t="shared" si="20"/>
        <v>2040290</v>
      </c>
    </row>
    <row r="537" spans="1:8" ht="14.25" customHeight="1" x14ac:dyDescent="0.2">
      <c r="A537" s="19">
        <v>501</v>
      </c>
      <c r="B537" s="14">
        <v>45725</v>
      </c>
      <c r="C537" s="17" t="s">
        <v>581</v>
      </c>
      <c r="D537" s="16">
        <v>1150000</v>
      </c>
      <c r="E537" s="16"/>
      <c r="F537" s="18">
        <f t="shared" si="20"/>
        <v>3190290</v>
      </c>
    </row>
    <row r="538" spans="1:8" ht="14.25" customHeight="1" x14ac:dyDescent="0.2">
      <c r="A538" s="19">
        <v>502</v>
      </c>
      <c r="B538" s="14">
        <v>45728</v>
      </c>
      <c r="C538" s="17" t="s">
        <v>578</v>
      </c>
      <c r="D538" s="16">
        <v>350000</v>
      </c>
      <c r="E538" s="16"/>
      <c r="F538" s="18">
        <f t="shared" si="20"/>
        <v>3540290</v>
      </c>
    </row>
    <row r="539" spans="1:8" ht="14.25" customHeight="1" x14ac:dyDescent="0.2">
      <c r="A539" s="19">
        <v>503</v>
      </c>
      <c r="B539" s="14">
        <v>45730</v>
      </c>
      <c r="C539" s="17" t="s">
        <v>579</v>
      </c>
      <c r="D539" s="16"/>
      <c r="E539" s="16">
        <v>500000</v>
      </c>
      <c r="F539" s="18">
        <f t="shared" si="20"/>
        <v>3040290</v>
      </c>
      <c r="H539" s="67"/>
    </row>
    <row r="540" spans="1:8" ht="14.25" customHeight="1" x14ac:dyDescent="0.2">
      <c r="A540" s="19">
        <v>504</v>
      </c>
      <c r="B540" s="14">
        <v>45731</v>
      </c>
      <c r="C540" s="17" t="s">
        <v>580</v>
      </c>
      <c r="D540" s="16">
        <v>159710</v>
      </c>
      <c r="E540" s="16"/>
      <c r="F540" s="18">
        <f t="shared" si="20"/>
        <v>3200000</v>
      </c>
    </row>
    <row r="541" spans="1:8" ht="14.25" customHeight="1" x14ac:dyDescent="0.2">
      <c r="A541" s="19">
        <v>505</v>
      </c>
      <c r="B541" s="14">
        <v>45731</v>
      </c>
      <c r="C541" s="17" t="s">
        <v>587</v>
      </c>
      <c r="D541" s="16"/>
      <c r="E541" s="16">
        <v>750000</v>
      </c>
      <c r="F541" s="18">
        <f t="shared" si="20"/>
        <v>2450000</v>
      </c>
    </row>
    <row r="542" spans="1:8" ht="14.25" customHeight="1" x14ac:dyDescent="0.2">
      <c r="A542" s="19">
        <v>506</v>
      </c>
      <c r="B542" s="14">
        <v>45736</v>
      </c>
      <c r="C542" s="17" t="s">
        <v>583</v>
      </c>
      <c r="D542" s="16"/>
      <c r="E542" s="16">
        <v>1000000</v>
      </c>
      <c r="F542" s="18">
        <f t="shared" si="20"/>
        <v>1450000</v>
      </c>
    </row>
    <row r="543" spans="1:8" ht="14.25" customHeight="1" x14ac:dyDescent="0.2">
      <c r="A543" s="19">
        <v>507</v>
      </c>
      <c r="B543" s="14">
        <v>45737</v>
      </c>
      <c r="C543" s="17" t="s">
        <v>584</v>
      </c>
      <c r="D543" s="16"/>
      <c r="E543" s="16">
        <v>1200000</v>
      </c>
      <c r="F543" s="18">
        <f t="shared" si="20"/>
        <v>250000</v>
      </c>
    </row>
    <row r="544" spans="1:8" ht="14.25" customHeight="1" x14ac:dyDescent="0.2">
      <c r="A544" s="19">
        <v>508</v>
      </c>
      <c r="B544" s="14">
        <v>45738</v>
      </c>
      <c r="C544" s="17" t="s">
        <v>585</v>
      </c>
      <c r="D544" s="16">
        <v>1997000</v>
      </c>
      <c r="E544" s="16"/>
      <c r="F544" s="18">
        <f t="shared" si="20"/>
        <v>2247000</v>
      </c>
    </row>
    <row r="545" spans="1:10" ht="14.25" customHeight="1" x14ac:dyDescent="0.2">
      <c r="A545" s="19">
        <v>509</v>
      </c>
      <c r="B545" s="14">
        <v>45742</v>
      </c>
      <c r="C545" s="17" t="s">
        <v>588</v>
      </c>
      <c r="D545" s="16">
        <v>2005000</v>
      </c>
      <c r="E545" s="16"/>
      <c r="F545" s="18">
        <f t="shared" si="20"/>
        <v>4252000</v>
      </c>
    </row>
    <row r="546" spans="1:10" ht="14.25" customHeight="1" x14ac:dyDescent="0.2">
      <c r="A546" s="19">
        <v>510</v>
      </c>
      <c r="B546" s="14">
        <v>45742</v>
      </c>
      <c r="C546" s="17" t="s">
        <v>589</v>
      </c>
      <c r="D546" s="16">
        <v>50000</v>
      </c>
      <c r="E546" s="16"/>
      <c r="F546" s="18">
        <f t="shared" si="20"/>
        <v>4302000</v>
      </c>
    </row>
    <row r="547" spans="1:10" ht="14.25" customHeight="1" x14ac:dyDescent="0.2">
      <c r="A547" s="19">
        <v>511</v>
      </c>
      <c r="B547" s="14">
        <v>45743</v>
      </c>
      <c r="C547" s="17" t="s">
        <v>80</v>
      </c>
      <c r="D547" s="16"/>
      <c r="E547" s="16">
        <v>1000000</v>
      </c>
      <c r="F547" s="18">
        <f t="shared" si="20"/>
        <v>3302000</v>
      </c>
    </row>
    <row r="548" spans="1:10" ht="14.25" customHeight="1" x14ac:dyDescent="0.2">
      <c r="A548" s="19">
        <v>512</v>
      </c>
      <c r="B548" s="14">
        <v>45749</v>
      </c>
      <c r="C548" s="17" t="s">
        <v>590</v>
      </c>
      <c r="D548" s="16">
        <v>500000</v>
      </c>
      <c r="F548" s="18">
        <f t="shared" si="20"/>
        <v>3802000</v>
      </c>
    </row>
    <row r="549" spans="1:10" ht="14.25" customHeight="1" x14ac:dyDescent="0.2">
      <c r="A549" s="19">
        <v>513</v>
      </c>
      <c r="B549" s="14">
        <v>45751</v>
      </c>
      <c r="C549" s="17" t="s">
        <v>426</v>
      </c>
      <c r="D549" s="16"/>
      <c r="E549" s="16">
        <v>500000</v>
      </c>
      <c r="F549" s="18">
        <f t="shared" si="20"/>
        <v>3302000</v>
      </c>
    </row>
    <row r="550" spans="1:10" ht="14.25" customHeight="1" x14ac:dyDescent="0.2">
      <c r="A550" s="19">
        <v>514</v>
      </c>
      <c r="B550" s="14">
        <v>45765</v>
      </c>
      <c r="C550" s="17" t="s">
        <v>591</v>
      </c>
      <c r="D550" s="16">
        <v>2571000</v>
      </c>
      <c r="E550" s="16"/>
      <c r="F550" s="18">
        <f t="shared" si="20"/>
        <v>5873000</v>
      </c>
    </row>
    <row r="551" spans="1:10" ht="14.25" customHeight="1" x14ac:dyDescent="0.2">
      <c r="A551" s="19">
        <v>515</v>
      </c>
      <c r="B551" s="61">
        <v>45766</v>
      </c>
      <c r="C551" s="17" t="s">
        <v>593</v>
      </c>
      <c r="D551" s="37">
        <v>450000</v>
      </c>
      <c r="E551" s="37"/>
      <c r="F551" s="32">
        <f t="shared" si="20"/>
        <v>6323000</v>
      </c>
    </row>
    <row r="552" spans="1:10" ht="14.25" customHeight="1" x14ac:dyDescent="0.2">
      <c r="A552" s="19">
        <v>516</v>
      </c>
      <c r="B552" s="61">
        <v>45772</v>
      </c>
      <c r="C552" s="36" t="s">
        <v>594</v>
      </c>
      <c r="D552" s="37"/>
      <c r="E552" s="37">
        <v>600000</v>
      </c>
      <c r="F552" s="32">
        <f t="shared" si="20"/>
        <v>5723000</v>
      </c>
    </row>
    <row r="553" spans="1:10" ht="14.25" customHeight="1" x14ac:dyDescent="0.2">
      <c r="A553" s="19">
        <v>517</v>
      </c>
      <c r="B553" s="61">
        <v>45773</v>
      </c>
      <c r="C553" s="36" t="s">
        <v>595</v>
      </c>
      <c r="D553" s="37"/>
      <c r="E553" s="37">
        <v>500000</v>
      </c>
      <c r="F553" s="32">
        <f t="shared" si="20"/>
        <v>5223000</v>
      </c>
    </row>
    <row r="554" spans="1:10" ht="14.25" customHeight="1" x14ac:dyDescent="0.2">
      <c r="A554" s="19">
        <v>518</v>
      </c>
      <c r="B554" s="61">
        <v>45773</v>
      </c>
      <c r="C554" s="36" t="s">
        <v>80</v>
      </c>
      <c r="D554" s="37"/>
      <c r="E554" s="37">
        <v>1000000</v>
      </c>
      <c r="F554" s="32">
        <f t="shared" si="20"/>
        <v>4223000</v>
      </c>
    </row>
    <row r="555" spans="1:10" ht="14.25" customHeight="1" x14ac:dyDescent="0.2">
      <c r="A555" s="19">
        <v>519</v>
      </c>
      <c r="B555" s="61">
        <v>45774</v>
      </c>
      <c r="C555" s="17" t="s">
        <v>597</v>
      </c>
      <c r="D555" s="37">
        <v>500000</v>
      </c>
      <c r="E555" s="37"/>
      <c r="F555" s="32">
        <f t="shared" si="20"/>
        <v>4723000</v>
      </c>
    </row>
    <row r="556" spans="1:10" ht="14.25" customHeight="1" x14ac:dyDescent="0.2">
      <c r="A556" s="19">
        <v>520</v>
      </c>
      <c r="B556" s="61">
        <v>45777</v>
      </c>
      <c r="C556" s="36" t="s">
        <v>596</v>
      </c>
      <c r="D556" s="37"/>
      <c r="E556" s="37">
        <v>1600000</v>
      </c>
      <c r="F556" s="32">
        <f t="shared" si="20"/>
        <v>3123000</v>
      </c>
    </row>
    <row r="557" spans="1:10" ht="14.25" customHeight="1" x14ac:dyDescent="0.2">
      <c r="A557" s="19">
        <v>521</v>
      </c>
      <c r="B557" s="61">
        <v>45779</v>
      </c>
      <c r="C557" s="36" t="s">
        <v>598</v>
      </c>
      <c r="D557" s="37"/>
      <c r="E557" s="37">
        <v>500000</v>
      </c>
      <c r="F557" s="32">
        <f t="shared" si="20"/>
        <v>2623000</v>
      </c>
    </row>
    <row r="558" spans="1:10" ht="14.25" customHeight="1" x14ac:dyDescent="0.2">
      <c r="A558" s="19">
        <v>522</v>
      </c>
      <c r="B558" s="61">
        <v>45780</v>
      </c>
      <c r="C558" s="36" t="s">
        <v>599</v>
      </c>
      <c r="D558" s="37"/>
      <c r="E558" s="37">
        <v>2500000</v>
      </c>
      <c r="F558" s="32">
        <f t="shared" si="20"/>
        <v>123000</v>
      </c>
    </row>
    <row r="559" spans="1:10" ht="14.25" customHeight="1" x14ac:dyDescent="0.2">
      <c r="A559" s="19">
        <v>523</v>
      </c>
      <c r="B559" s="61">
        <v>45790</v>
      </c>
      <c r="C559" s="17" t="s">
        <v>600</v>
      </c>
      <c r="D559" s="16">
        <v>33891600</v>
      </c>
      <c r="E559" s="16"/>
      <c r="F559" s="32">
        <f t="shared" si="20"/>
        <v>34014600</v>
      </c>
      <c r="G559" s="49"/>
      <c r="H559" s="49"/>
      <c r="I559" s="49"/>
      <c r="J559" s="49">
        <v>123000</v>
      </c>
    </row>
    <row r="560" spans="1:10" ht="14.25" customHeight="1" x14ac:dyDescent="0.2">
      <c r="A560" s="19">
        <v>524</v>
      </c>
      <c r="B560" s="61">
        <v>45790</v>
      </c>
      <c r="C560" s="17" t="s">
        <v>601</v>
      </c>
      <c r="D560" s="16"/>
      <c r="E560" s="16">
        <v>17145000</v>
      </c>
      <c r="F560" s="32">
        <f t="shared" si="20"/>
        <v>16869600</v>
      </c>
    </row>
    <row r="561" spans="1:10" ht="14.25" customHeight="1" x14ac:dyDescent="0.2">
      <c r="A561" s="19">
        <v>525</v>
      </c>
      <c r="B561" s="61">
        <v>45791</v>
      </c>
      <c r="C561" s="17" t="s">
        <v>602</v>
      </c>
      <c r="D561" s="16">
        <v>2238000</v>
      </c>
      <c r="E561" s="16"/>
      <c r="F561" s="32">
        <f t="shared" si="20"/>
        <v>19107600</v>
      </c>
      <c r="J561" s="49">
        <f>G559+H559-J559</f>
        <v>-123000</v>
      </c>
    </row>
    <row r="562" spans="1:10" ht="14.25" customHeight="1" x14ac:dyDescent="0.2">
      <c r="A562" s="19">
        <v>526</v>
      </c>
      <c r="B562" s="61">
        <v>45792</v>
      </c>
      <c r="C562" s="17" t="s">
        <v>603</v>
      </c>
      <c r="D562" s="16"/>
      <c r="E562" s="16">
        <v>11430000</v>
      </c>
      <c r="F562" s="32">
        <f t="shared" si="20"/>
        <v>7677600</v>
      </c>
    </row>
    <row r="563" spans="1:10" ht="14.25" customHeight="1" x14ac:dyDescent="0.2">
      <c r="A563" s="19">
        <v>527</v>
      </c>
      <c r="B563" s="61">
        <v>45800</v>
      </c>
      <c r="C563" s="17" t="s">
        <v>604</v>
      </c>
      <c r="D563" s="16"/>
      <c r="E563" s="16">
        <v>500000</v>
      </c>
      <c r="F563" s="32">
        <f t="shared" si="20"/>
        <v>7177600</v>
      </c>
    </row>
    <row r="564" spans="1:10" ht="14.25" customHeight="1" x14ac:dyDescent="0.2">
      <c r="A564" s="19">
        <v>528</v>
      </c>
      <c r="B564" s="61">
        <v>45802</v>
      </c>
      <c r="C564" s="17" t="s">
        <v>605</v>
      </c>
      <c r="D564" s="16"/>
      <c r="E564" s="16">
        <v>600000</v>
      </c>
      <c r="F564" s="32">
        <f t="shared" si="20"/>
        <v>6577600</v>
      </c>
      <c r="H564" s="67"/>
    </row>
    <row r="565" spans="1:10" ht="14.25" customHeight="1" x14ac:dyDescent="0.2">
      <c r="A565" s="19">
        <v>529</v>
      </c>
      <c r="B565" s="61">
        <v>45802</v>
      </c>
      <c r="C565" s="17" t="s">
        <v>606</v>
      </c>
      <c r="D565" s="31">
        <v>1370500</v>
      </c>
      <c r="E565" s="31"/>
      <c r="F565" s="32">
        <f t="shared" si="20"/>
        <v>7948100</v>
      </c>
      <c r="H565" s="67"/>
    </row>
    <row r="566" spans="1:10" ht="14.25" customHeight="1" x14ac:dyDescent="0.2">
      <c r="A566" s="69">
        <v>530</v>
      </c>
      <c r="B566" s="63">
        <v>45805</v>
      </c>
      <c r="C566" s="36" t="s">
        <v>621</v>
      </c>
      <c r="D566" s="37">
        <v>500000</v>
      </c>
      <c r="E566" s="37"/>
      <c r="F566" s="32">
        <f t="shared" si="20"/>
        <v>8448100</v>
      </c>
    </row>
    <row r="567" spans="1:10" ht="14.25" customHeight="1" x14ac:dyDescent="0.2">
      <c r="A567" s="19">
        <v>531</v>
      </c>
      <c r="B567" s="70">
        <v>45807</v>
      </c>
      <c r="C567" s="71" t="s">
        <v>607</v>
      </c>
      <c r="D567" s="39"/>
      <c r="E567" s="34">
        <v>1200000</v>
      </c>
      <c r="F567" s="32">
        <f t="shared" si="20"/>
        <v>7248100</v>
      </c>
    </row>
    <row r="568" spans="1:10" ht="14.25" customHeight="1" x14ac:dyDescent="0.2">
      <c r="A568" s="19">
        <v>532</v>
      </c>
      <c r="B568" s="68">
        <v>45815</v>
      </c>
      <c r="C568" s="36" t="s">
        <v>614</v>
      </c>
      <c r="D568" s="47">
        <v>2651000</v>
      </c>
      <c r="E568" s="16"/>
      <c r="F568" s="32">
        <f t="shared" si="20"/>
        <v>9899100</v>
      </c>
    </row>
    <row r="569" spans="1:10" ht="14.25" customHeight="1" x14ac:dyDescent="0.2">
      <c r="A569" s="19">
        <v>533</v>
      </c>
      <c r="B569" s="68">
        <v>45818</v>
      </c>
      <c r="C569" s="33" t="s">
        <v>608</v>
      </c>
      <c r="D569" s="16"/>
      <c r="E569" s="16">
        <v>5394500</v>
      </c>
      <c r="F569" s="32">
        <f t="shared" si="20"/>
        <v>4504600</v>
      </c>
      <c r="H569" s="67"/>
    </row>
    <row r="570" spans="1:10" ht="14.25" customHeight="1" x14ac:dyDescent="0.2">
      <c r="A570" s="19">
        <v>534</v>
      </c>
      <c r="B570" s="68">
        <v>45818</v>
      </c>
      <c r="C570" s="17" t="s">
        <v>606</v>
      </c>
      <c r="D570" s="16">
        <v>2225500</v>
      </c>
      <c r="E570" s="16"/>
      <c r="F570" s="32">
        <f t="shared" si="20"/>
        <v>6730100</v>
      </c>
    </row>
    <row r="571" spans="1:10" ht="14.25" customHeight="1" x14ac:dyDescent="0.2">
      <c r="A571" s="19">
        <v>535</v>
      </c>
      <c r="B571" s="68">
        <v>45821</v>
      </c>
      <c r="C571" s="17" t="s">
        <v>609</v>
      </c>
      <c r="D571" s="16"/>
      <c r="E571" s="16">
        <v>500000</v>
      </c>
      <c r="F571" s="32">
        <f t="shared" si="20"/>
        <v>6230100</v>
      </c>
    </row>
    <row r="572" spans="1:10" ht="14.25" customHeight="1" x14ac:dyDescent="0.2">
      <c r="A572" s="19">
        <v>536</v>
      </c>
      <c r="B572" s="68">
        <v>45828</v>
      </c>
      <c r="C572" s="17" t="s">
        <v>610</v>
      </c>
      <c r="D572" s="16"/>
      <c r="E572" s="16">
        <v>500000</v>
      </c>
      <c r="F572" s="32">
        <f t="shared" si="20"/>
        <v>5730100</v>
      </c>
    </row>
    <row r="573" spans="1:10" ht="14.25" customHeight="1" x14ac:dyDescent="0.2">
      <c r="A573" s="19">
        <v>537</v>
      </c>
      <c r="B573" s="68">
        <v>45834</v>
      </c>
      <c r="C573" s="17" t="s">
        <v>611</v>
      </c>
      <c r="D573" s="16"/>
      <c r="E573" s="16">
        <v>490000</v>
      </c>
      <c r="F573" s="32">
        <f t="shared" si="20"/>
        <v>5240100</v>
      </c>
    </row>
    <row r="574" spans="1:10" ht="14.25" customHeight="1" x14ac:dyDescent="0.2">
      <c r="A574" s="19">
        <v>538</v>
      </c>
      <c r="B574" s="68">
        <v>45836</v>
      </c>
      <c r="C574" s="17" t="s">
        <v>622</v>
      </c>
      <c r="D574" s="16">
        <v>500000</v>
      </c>
      <c r="E574" s="16"/>
      <c r="F574" s="32">
        <f t="shared" si="20"/>
        <v>5740100</v>
      </c>
    </row>
    <row r="575" spans="1:10" ht="14.25" customHeight="1" x14ac:dyDescent="0.2">
      <c r="A575" s="19">
        <v>523</v>
      </c>
      <c r="B575" s="68">
        <v>45838</v>
      </c>
      <c r="C575" s="17" t="s">
        <v>612</v>
      </c>
      <c r="D575" s="16"/>
      <c r="E575" s="16">
        <v>1200000</v>
      </c>
      <c r="F575" s="32">
        <f t="shared" si="20"/>
        <v>4540100</v>
      </c>
      <c r="H575" s="67"/>
    </row>
    <row r="576" spans="1:10" ht="14.25" customHeight="1" x14ac:dyDescent="0.2">
      <c r="A576" s="19">
        <v>524</v>
      </c>
      <c r="B576" s="68">
        <v>45838</v>
      </c>
      <c r="C576" s="17" t="s">
        <v>613</v>
      </c>
      <c r="D576" s="16">
        <v>1861000</v>
      </c>
      <c r="E576" s="16"/>
      <c r="F576" s="32">
        <f t="shared" si="20"/>
        <v>6401100</v>
      </c>
    </row>
    <row r="577" spans="1:8" ht="14.25" customHeight="1" x14ac:dyDescent="0.2">
      <c r="A577" s="19">
        <v>525</v>
      </c>
      <c r="B577" s="68">
        <v>45838</v>
      </c>
      <c r="C577" s="17" t="s">
        <v>606</v>
      </c>
      <c r="D577" s="16">
        <v>255000</v>
      </c>
      <c r="E577" s="16"/>
      <c r="F577" s="32">
        <f t="shared" si="20"/>
        <v>6656100</v>
      </c>
    </row>
    <row r="578" spans="1:8" ht="14.25" customHeight="1" x14ac:dyDescent="0.2">
      <c r="A578" s="19">
        <v>526</v>
      </c>
      <c r="B578" s="68">
        <v>45841</v>
      </c>
      <c r="C578" s="17" t="s">
        <v>615</v>
      </c>
      <c r="D578" s="16">
        <v>300000</v>
      </c>
      <c r="E578" s="16"/>
      <c r="F578" s="32">
        <f t="shared" si="20"/>
        <v>6956100</v>
      </c>
      <c r="H578" s="67"/>
    </row>
    <row r="579" spans="1:8" ht="14.25" customHeight="1" x14ac:dyDescent="0.2">
      <c r="A579" s="19">
        <v>527</v>
      </c>
      <c r="B579" s="68">
        <v>45848</v>
      </c>
      <c r="C579" s="17" t="s">
        <v>619</v>
      </c>
      <c r="D579" s="16"/>
      <c r="E579" s="16">
        <v>500000</v>
      </c>
      <c r="F579" s="32">
        <f t="shared" si="20"/>
        <v>6456100</v>
      </c>
    </row>
    <row r="580" spans="1:8" ht="14.25" customHeight="1" x14ac:dyDescent="0.2">
      <c r="A580" s="19">
        <v>528</v>
      </c>
      <c r="B580" s="68">
        <v>45849</v>
      </c>
      <c r="C580" s="17" t="s">
        <v>616</v>
      </c>
      <c r="D580" s="16"/>
      <c r="E580" s="16">
        <v>1000000</v>
      </c>
      <c r="F580" s="32">
        <f t="shared" si="20"/>
        <v>5456100</v>
      </c>
    </row>
    <row r="581" spans="1:8" ht="14.25" customHeight="1" x14ac:dyDescent="0.2">
      <c r="A581" s="19">
        <v>529</v>
      </c>
      <c r="B581" s="68">
        <v>45849</v>
      </c>
      <c r="C581" s="17" t="s">
        <v>606</v>
      </c>
      <c r="D581" s="16">
        <v>79000</v>
      </c>
      <c r="E581" s="16"/>
      <c r="F581" s="32">
        <f t="shared" si="20"/>
        <v>5535100</v>
      </c>
    </row>
    <row r="582" spans="1:8" ht="14.25" customHeight="1" x14ac:dyDescent="0.2">
      <c r="A582" s="19">
        <v>530</v>
      </c>
      <c r="B582" s="68">
        <v>45856</v>
      </c>
      <c r="C582" s="17" t="s">
        <v>617</v>
      </c>
      <c r="D582" s="16"/>
      <c r="E582" s="16">
        <v>500000</v>
      </c>
      <c r="F582" s="32">
        <f t="shared" si="20"/>
        <v>5035100</v>
      </c>
    </row>
    <row r="583" spans="1:8" ht="14.25" customHeight="1" x14ac:dyDescent="0.2">
      <c r="A583" s="19">
        <v>531</v>
      </c>
      <c r="B583" s="68">
        <v>45857</v>
      </c>
      <c r="C583" s="17" t="s">
        <v>618</v>
      </c>
      <c r="D583" s="16">
        <v>2016000</v>
      </c>
      <c r="E583" s="16"/>
      <c r="F583" s="32">
        <f t="shared" si="20"/>
        <v>7051100</v>
      </c>
    </row>
    <row r="584" spans="1:8" ht="14.25" customHeight="1" x14ac:dyDescent="0.2">
      <c r="A584" s="19">
        <v>532</v>
      </c>
      <c r="B584" s="68">
        <v>45865</v>
      </c>
      <c r="C584" s="17" t="s">
        <v>623</v>
      </c>
      <c r="D584" s="16">
        <v>500000</v>
      </c>
      <c r="E584" s="16"/>
      <c r="F584" s="32">
        <f t="shared" si="20"/>
        <v>7551100</v>
      </c>
    </row>
    <row r="585" spans="1:8" ht="14.25" customHeight="1" x14ac:dyDescent="0.2">
      <c r="A585" s="19">
        <v>533</v>
      </c>
      <c r="B585" s="68">
        <v>45868</v>
      </c>
      <c r="C585" s="17" t="s">
        <v>620</v>
      </c>
      <c r="D585" s="16"/>
      <c r="E585" s="16">
        <v>600000</v>
      </c>
      <c r="F585" s="32">
        <f t="shared" si="20"/>
        <v>6951100</v>
      </c>
    </row>
    <row r="586" spans="1:8" ht="14.25" customHeight="1" x14ac:dyDescent="0.2">
      <c r="A586" s="19">
        <v>534</v>
      </c>
      <c r="B586" s="68">
        <v>45871</v>
      </c>
      <c r="C586" s="17" t="s">
        <v>624</v>
      </c>
      <c r="D586" s="16"/>
      <c r="E586" s="16">
        <v>1050000</v>
      </c>
      <c r="F586" s="32">
        <f t="shared" si="20"/>
        <v>5901100</v>
      </c>
    </row>
    <row r="587" spans="1:8" ht="14.25" customHeight="1" x14ac:dyDescent="0.2">
      <c r="A587" s="19">
        <v>535</v>
      </c>
      <c r="B587" s="68">
        <v>45880</v>
      </c>
      <c r="C587" s="17" t="s">
        <v>625</v>
      </c>
      <c r="D587" s="16"/>
      <c r="E587" s="16">
        <v>500000</v>
      </c>
      <c r="F587" s="32">
        <f t="shared" si="20"/>
        <v>5401100</v>
      </c>
    </row>
    <row r="588" spans="1:8" ht="14.25" customHeight="1" x14ac:dyDescent="0.2">
      <c r="A588" s="19">
        <v>536</v>
      </c>
      <c r="B588" s="68">
        <v>45880</v>
      </c>
      <c r="C588" s="17" t="s">
        <v>606</v>
      </c>
      <c r="D588" s="16">
        <v>368000</v>
      </c>
      <c r="E588" s="16"/>
      <c r="F588" s="32">
        <f t="shared" si="20"/>
        <v>5769100</v>
      </c>
      <c r="H588" s="67"/>
    </row>
    <row r="589" spans="1:8" ht="14.25" customHeight="1" x14ac:dyDescent="0.2">
      <c r="A589" s="19">
        <v>537</v>
      </c>
      <c r="B589" s="68">
        <v>45887</v>
      </c>
      <c r="C589" s="17" t="s">
        <v>626</v>
      </c>
      <c r="D589" s="16">
        <v>1731000</v>
      </c>
      <c r="E589" s="16"/>
      <c r="F589" s="32">
        <f t="shared" si="20"/>
        <v>7500100</v>
      </c>
      <c r="G589" s="67"/>
    </row>
    <row r="590" spans="1:8" ht="14.25" customHeight="1" x14ac:dyDescent="0.2">
      <c r="A590" s="19">
        <v>538</v>
      </c>
      <c r="B590" s="68">
        <v>45888</v>
      </c>
      <c r="C590" s="17" t="s">
        <v>631</v>
      </c>
      <c r="D590" s="16"/>
      <c r="E590" s="16">
        <v>300000</v>
      </c>
      <c r="F590" s="32">
        <f t="shared" si="20"/>
        <v>7200100</v>
      </c>
      <c r="G590" s="67"/>
      <c r="H590" s="67"/>
    </row>
    <row r="591" spans="1:8" ht="14.25" customHeight="1" x14ac:dyDescent="0.2">
      <c r="A591" s="19">
        <v>539</v>
      </c>
      <c r="B591" s="68">
        <v>45893</v>
      </c>
      <c r="C591" s="17" t="s">
        <v>619</v>
      </c>
      <c r="D591" s="16"/>
      <c r="E591" s="16">
        <v>500000</v>
      </c>
      <c r="F591" s="32">
        <f t="shared" ref="F591:F640" si="21">F590+D591-E591</f>
        <v>6700100</v>
      </c>
    </row>
    <row r="592" spans="1:8" ht="14.25" customHeight="1" x14ac:dyDescent="0.2">
      <c r="A592" s="19">
        <v>540</v>
      </c>
      <c r="B592" s="68">
        <v>45894</v>
      </c>
      <c r="C592" s="17" t="s">
        <v>527</v>
      </c>
      <c r="D592" s="16"/>
      <c r="E592" s="16">
        <v>600000</v>
      </c>
      <c r="F592" s="32">
        <f t="shared" si="21"/>
        <v>6100100</v>
      </c>
    </row>
    <row r="593" spans="1:10" ht="14.25" customHeight="1" x14ac:dyDescent="0.2">
      <c r="A593" s="19">
        <v>541</v>
      </c>
      <c r="B593" s="68">
        <v>45896</v>
      </c>
      <c r="C593" s="17" t="s">
        <v>629</v>
      </c>
      <c r="D593" s="16">
        <v>500000</v>
      </c>
      <c r="E593" s="16"/>
      <c r="F593" s="32">
        <f t="shared" si="21"/>
        <v>6600100</v>
      </c>
    </row>
    <row r="594" spans="1:10" ht="14.25" customHeight="1" x14ac:dyDescent="0.2">
      <c r="A594" s="19">
        <v>542</v>
      </c>
      <c r="B594" s="68">
        <v>45898</v>
      </c>
      <c r="C594" s="17" t="s">
        <v>628</v>
      </c>
      <c r="D594" s="16"/>
      <c r="E594" s="16">
        <v>500000</v>
      </c>
      <c r="F594" s="32">
        <f t="shared" si="21"/>
        <v>6100100</v>
      </c>
    </row>
    <row r="595" spans="1:10" ht="14.25" customHeight="1" x14ac:dyDescent="0.2">
      <c r="A595" s="19">
        <v>543</v>
      </c>
      <c r="B595" s="68">
        <v>45899</v>
      </c>
      <c r="C595" s="36" t="s">
        <v>583</v>
      </c>
      <c r="D595" s="47"/>
      <c r="E595" s="16">
        <v>500000</v>
      </c>
      <c r="F595" s="32">
        <f t="shared" si="21"/>
        <v>5600100</v>
      </c>
    </row>
    <row r="596" spans="1:10" ht="14.25" customHeight="1" x14ac:dyDescent="0.2">
      <c r="A596" s="19">
        <v>544</v>
      </c>
      <c r="B596" s="68">
        <v>45901</v>
      </c>
      <c r="C596" s="72" t="s">
        <v>630</v>
      </c>
      <c r="D596" s="47"/>
      <c r="E596" s="16">
        <v>1100000</v>
      </c>
      <c r="F596" s="32">
        <f t="shared" si="21"/>
        <v>4500100</v>
      </c>
      <c r="J596" s="67"/>
    </row>
    <row r="597" spans="1:10" ht="14.25" customHeight="1" x14ac:dyDescent="0.2">
      <c r="A597" s="19">
        <v>545</v>
      </c>
      <c r="B597" s="68">
        <v>45902</v>
      </c>
      <c r="C597" s="72" t="s">
        <v>606</v>
      </c>
      <c r="D597" s="16">
        <v>656900</v>
      </c>
      <c r="E597" s="16"/>
      <c r="F597" s="32">
        <f t="shared" si="21"/>
        <v>5157000</v>
      </c>
    </row>
    <row r="598" spans="1:10" ht="14.25" customHeight="1" x14ac:dyDescent="0.2">
      <c r="A598" s="19">
        <v>546</v>
      </c>
      <c r="B598" s="68">
        <v>45909</v>
      </c>
      <c r="C598" s="17" t="s">
        <v>633</v>
      </c>
      <c r="D598" s="16">
        <v>1628000</v>
      </c>
      <c r="E598" s="16"/>
      <c r="F598" s="32">
        <f t="shared" si="21"/>
        <v>6785000</v>
      </c>
    </row>
    <row r="599" spans="1:10" ht="14.25" customHeight="1" x14ac:dyDescent="0.2">
      <c r="A599" s="19">
        <v>547</v>
      </c>
      <c r="B599" s="68">
        <v>45919</v>
      </c>
      <c r="C599" s="17" t="s">
        <v>426</v>
      </c>
      <c r="D599" s="16"/>
      <c r="E599" s="16">
        <v>500000</v>
      </c>
      <c r="F599" s="32">
        <f t="shared" si="21"/>
        <v>6285000</v>
      </c>
    </row>
    <row r="600" spans="1:10" ht="14.25" customHeight="1" x14ac:dyDescent="0.2">
      <c r="A600" s="19">
        <v>548</v>
      </c>
      <c r="B600" s="68">
        <v>45921</v>
      </c>
      <c r="C600" s="17" t="s">
        <v>619</v>
      </c>
      <c r="D600" s="16"/>
      <c r="E600" s="16">
        <v>500000</v>
      </c>
      <c r="F600" s="32">
        <f t="shared" si="21"/>
        <v>5785000</v>
      </c>
    </row>
    <row r="601" spans="1:10" ht="14.25" customHeight="1" x14ac:dyDescent="0.2">
      <c r="A601" s="19">
        <v>549</v>
      </c>
      <c r="B601" s="68">
        <v>45925</v>
      </c>
      <c r="C601" s="17" t="s">
        <v>634</v>
      </c>
      <c r="D601" s="16"/>
      <c r="E601" s="16">
        <v>600000</v>
      </c>
      <c r="F601" s="32">
        <f t="shared" si="21"/>
        <v>5185000</v>
      </c>
      <c r="H601" s="67"/>
    </row>
    <row r="602" spans="1:10" ht="14.25" customHeight="1" x14ac:dyDescent="0.2">
      <c r="A602" s="19">
        <v>550</v>
      </c>
      <c r="B602" s="68">
        <v>45927</v>
      </c>
      <c r="C602" s="17" t="s">
        <v>635</v>
      </c>
      <c r="D602" s="16">
        <v>500000</v>
      </c>
      <c r="E602" s="16"/>
      <c r="F602" s="32">
        <f t="shared" si="21"/>
        <v>5685000</v>
      </c>
      <c r="G602" s="67"/>
    </row>
    <row r="603" spans="1:10" ht="14.25" customHeight="1" x14ac:dyDescent="0.2">
      <c r="A603" s="19">
        <v>551</v>
      </c>
      <c r="B603" s="68">
        <v>45931</v>
      </c>
      <c r="C603" s="17" t="s">
        <v>636</v>
      </c>
      <c r="D603" s="16"/>
      <c r="E603" s="16">
        <v>750000</v>
      </c>
      <c r="F603" s="32">
        <f t="shared" si="21"/>
        <v>4935000</v>
      </c>
      <c r="H603" s="67"/>
    </row>
    <row r="604" spans="1:10" ht="14.25" customHeight="1" x14ac:dyDescent="0.2">
      <c r="A604" s="19">
        <v>552</v>
      </c>
      <c r="B604" s="68">
        <v>45935</v>
      </c>
      <c r="C604" s="17" t="s">
        <v>637</v>
      </c>
      <c r="D604" s="16">
        <v>750000</v>
      </c>
      <c r="E604" s="16"/>
      <c r="F604" s="32">
        <f t="shared" si="21"/>
        <v>5685000</v>
      </c>
      <c r="J604" s="67"/>
    </row>
    <row r="605" spans="1:10" ht="14.25" customHeight="1" x14ac:dyDescent="0.2">
      <c r="A605" s="19">
        <v>553</v>
      </c>
      <c r="B605" s="68">
        <v>45935</v>
      </c>
      <c r="C605" s="17" t="s">
        <v>638</v>
      </c>
      <c r="D605" s="16">
        <v>2470000</v>
      </c>
      <c r="E605" s="31"/>
      <c r="F605" s="32">
        <f t="shared" si="21"/>
        <v>8155000</v>
      </c>
    </row>
    <row r="606" spans="1:10" ht="14.25" customHeight="1" x14ac:dyDescent="0.2">
      <c r="A606" s="19">
        <v>554</v>
      </c>
      <c r="B606" s="68">
        <v>45940</v>
      </c>
      <c r="C606" s="17" t="s">
        <v>641</v>
      </c>
      <c r="D606" s="73"/>
      <c r="E606" s="37">
        <v>500000</v>
      </c>
      <c r="F606" s="32">
        <f t="shared" si="21"/>
        <v>7655000</v>
      </c>
    </row>
    <row r="607" spans="1:10" ht="14.25" customHeight="1" x14ac:dyDescent="0.2">
      <c r="A607" s="19">
        <v>555</v>
      </c>
      <c r="B607" s="68">
        <v>45955</v>
      </c>
      <c r="C607" s="17" t="s">
        <v>642</v>
      </c>
      <c r="D607" s="73"/>
      <c r="E607" s="37">
        <v>600000</v>
      </c>
      <c r="F607" s="32">
        <f t="shared" si="21"/>
        <v>7055000</v>
      </c>
    </row>
    <row r="608" spans="1:10" ht="14.25" customHeight="1" x14ac:dyDescent="0.2">
      <c r="A608" s="19">
        <v>556</v>
      </c>
      <c r="B608" s="68">
        <v>45960</v>
      </c>
      <c r="C608" s="17" t="s">
        <v>643</v>
      </c>
      <c r="D608" s="73">
        <v>500000</v>
      </c>
      <c r="E608" s="37"/>
      <c r="F608" s="32">
        <f t="shared" si="21"/>
        <v>7555000</v>
      </c>
    </row>
    <row r="609" spans="1:8" ht="14.25" customHeight="1" x14ac:dyDescent="0.2">
      <c r="A609" s="19">
        <v>557</v>
      </c>
      <c r="B609" s="68">
        <v>45961</v>
      </c>
      <c r="C609" s="17" t="s">
        <v>426</v>
      </c>
      <c r="D609" s="73"/>
      <c r="E609" s="37">
        <v>500000</v>
      </c>
      <c r="F609" s="32">
        <f t="shared" si="21"/>
        <v>7055000</v>
      </c>
    </row>
    <row r="610" spans="1:8" ht="14.25" customHeight="1" x14ac:dyDescent="0.2">
      <c r="A610" s="19">
        <v>558</v>
      </c>
      <c r="B610" s="68">
        <v>45961</v>
      </c>
      <c r="C610" s="17" t="s">
        <v>644</v>
      </c>
      <c r="D610" s="73"/>
      <c r="E610" s="37">
        <v>750000</v>
      </c>
      <c r="F610" s="32">
        <f t="shared" si="21"/>
        <v>6305000</v>
      </c>
    </row>
    <row r="611" spans="1:8" ht="14.25" customHeight="1" x14ac:dyDescent="0.2">
      <c r="A611" s="19">
        <v>559</v>
      </c>
      <c r="B611" s="68">
        <v>45968</v>
      </c>
      <c r="C611" s="17" t="s">
        <v>546</v>
      </c>
      <c r="D611" s="73"/>
      <c r="E611" s="37">
        <v>500000</v>
      </c>
      <c r="F611" s="32">
        <f t="shared" si="21"/>
        <v>5805000</v>
      </c>
      <c r="H611" s="67"/>
    </row>
    <row r="612" spans="1:8" ht="14.25" customHeight="1" x14ac:dyDescent="0.2">
      <c r="A612" s="19">
        <v>560</v>
      </c>
      <c r="B612" s="68">
        <v>45968</v>
      </c>
      <c r="C612" s="17" t="s">
        <v>645</v>
      </c>
      <c r="D612" s="73">
        <v>1039000</v>
      </c>
      <c r="E612" s="37"/>
      <c r="F612" s="32">
        <f t="shared" si="21"/>
        <v>6844000</v>
      </c>
    </row>
    <row r="613" spans="1:8" ht="14.25" customHeight="1" x14ac:dyDescent="0.2">
      <c r="A613" s="19">
        <v>561</v>
      </c>
      <c r="B613" s="68">
        <v>45975</v>
      </c>
      <c r="C613" s="17" t="s">
        <v>646</v>
      </c>
      <c r="D613" s="73"/>
      <c r="E613" s="37">
        <v>950000</v>
      </c>
      <c r="F613" s="32">
        <f t="shared" si="21"/>
        <v>5894000</v>
      </c>
    </row>
    <row r="614" spans="1:8" ht="14.25" customHeight="1" x14ac:dyDescent="0.2">
      <c r="A614" s="19">
        <v>562</v>
      </c>
      <c r="B614" s="68">
        <v>45976</v>
      </c>
      <c r="C614" s="17" t="s">
        <v>645</v>
      </c>
      <c r="D614" s="73">
        <v>142000</v>
      </c>
      <c r="E614" s="37"/>
      <c r="F614" s="32">
        <f t="shared" si="21"/>
        <v>6036000</v>
      </c>
      <c r="H614" s="67"/>
    </row>
    <row r="615" spans="1:8" ht="14.25" customHeight="1" x14ac:dyDescent="0.2">
      <c r="A615" s="19">
        <v>563</v>
      </c>
      <c r="B615" s="68">
        <v>45982</v>
      </c>
      <c r="C615" s="17" t="s">
        <v>647</v>
      </c>
      <c r="D615" s="73">
        <v>500000</v>
      </c>
      <c r="E615" s="37"/>
      <c r="F615" s="32">
        <f t="shared" si="21"/>
        <v>6536000</v>
      </c>
    </row>
    <row r="616" spans="1:8" ht="14.25" customHeight="1" x14ac:dyDescent="0.2">
      <c r="A616" s="19">
        <v>564</v>
      </c>
      <c r="B616" s="68">
        <v>45991</v>
      </c>
      <c r="C616" s="17" t="s">
        <v>648</v>
      </c>
      <c r="D616" s="73">
        <v>1992000</v>
      </c>
      <c r="E616" s="37"/>
      <c r="F616" s="32">
        <f t="shared" si="21"/>
        <v>8528000</v>
      </c>
    </row>
    <row r="617" spans="1:8" ht="14.25" customHeight="1" x14ac:dyDescent="0.2">
      <c r="A617" s="19">
        <v>565</v>
      </c>
      <c r="B617" s="68">
        <v>45991</v>
      </c>
      <c r="C617" s="17" t="s">
        <v>649</v>
      </c>
      <c r="D617" s="73"/>
      <c r="E617" s="37">
        <v>500000</v>
      </c>
      <c r="F617" s="32">
        <f t="shared" si="21"/>
        <v>8028000</v>
      </c>
    </row>
    <row r="618" spans="1:8" ht="16" x14ac:dyDescent="0.2">
      <c r="A618" s="19">
        <v>566</v>
      </c>
      <c r="B618" s="68">
        <v>45992</v>
      </c>
      <c r="C618" s="17" t="s">
        <v>655</v>
      </c>
      <c r="D618" s="73"/>
      <c r="E618" s="37">
        <v>925000</v>
      </c>
      <c r="F618" s="32">
        <f t="shared" si="21"/>
        <v>7103000</v>
      </c>
    </row>
    <row r="619" spans="1:8" ht="14.25" customHeight="1" x14ac:dyDescent="0.2">
      <c r="A619" s="19">
        <v>567</v>
      </c>
      <c r="B619" s="68">
        <v>46003</v>
      </c>
      <c r="C619" s="17" t="s">
        <v>604</v>
      </c>
      <c r="D619" s="73"/>
      <c r="E619" s="37">
        <v>500000</v>
      </c>
      <c r="F619" s="32">
        <f t="shared" si="21"/>
        <v>6603000</v>
      </c>
    </row>
    <row r="620" spans="1:8" ht="14.25" customHeight="1" x14ac:dyDescent="0.2">
      <c r="A620" s="19">
        <v>568</v>
      </c>
      <c r="B620" s="68">
        <v>46013</v>
      </c>
      <c r="C620" s="17" t="s">
        <v>583</v>
      </c>
      <c r="D620" s="73"/>
      <c r="E620" s="37">
        <v>1000000</v>
      </c>
      <c r="F620" s="32">
        <f t="shared" si="21"/>
        <v>5603000</v>
      </c>
    </row>
    <row r="621" spans="1:8" ht="14.25" customHeight="1" x14ac:dyDescent="0.2">
      <c r="A621" s="19">
        <v>569</v>
      </c>
      <c r="B621" s="68">
        <v>46014</v>
      </c>
      <c r="C621" s="17" t="s">
        <v>651</v>
      </c>
      <c r="D621" s="73">
        <v>1332000</v>
      </c>
      <c r="E621" s="37"/>
      <c r="F621" s="32">
        <f t="shared" si="21"/>
        <v>6935000</v>
      </c>
    </row>
    <row r="622" spans="1:8" ht="14.25" customHeight="1" x14ac:dyDescent="0.2">
      <c r="A622" s="19">
        <v>570</v>
      </c>
      <c r="B622" s="68">
        <v>46018</v>
      </c>
      <c r="C622" s="17" t="s">
        <v>652</v>
      </c>
      <c r="D622" s="73">
        <v>500000</v>
      </c>
      <c r="E622" s="37"/>
      <c r="F622" s="32">
        <f t="shared" si="21"/>
        <v>7435000</v>
      </c>
    </row>
    <row r="623" spans="1:8" ht="14.25" customHeight="1" x14ac:dyDescent="0.2">
      <c r="A623" s="19">
        <v>571</v>
      </c>
      <c r="B623" s="68">
        <v>46019</v>
      </c>
      <c r="C623" s="17" t="s">
        <v>653</v>
      </c>
      <c r="D623" s="73"/>
      <c r="E623" s="37">
        <v>600000</v>
      </c>
      <c r="F623" s="32">
        <f t="shared" si="21"/>
        <v>6835000</v>
      </c>
    </row>
    <row r="624" spans="1:8" ht="14.25" customHeight="1" x14ac:dyDescent="0.2">
      <c r="A624" s="19">
        <v>572</v>
      </c>
      <c r="B624" s="68">
        <v>46021</v>
      </c>
      <c r="C624" s="17" t="s">
        <v>654</v>
      </c>
      <c r="D624" s="73"/>
      <c r="E624" s="37">
        <v>1000000</v>
      </c>
      <c r="F624" s="32">
        <f t="shared" si="21"/>
        <v>5835000</v>
      </c>
    </row>
    <row r="625" spans="1:8" ht="14.25" customHeight="1" x14ac:dyDescent="0.2">
      <c r="A625" s="19">
        <v>573</v>
      </c>
      <c r="B625" s="68">
        <v>46031</v>
      </c>
      <c r="C625" s="17" t="s">
        <v>169</v>
      </c>
      <c r="D625" s="73"/>
      <c r="E625" s="37">
        <v>500000</v>
      </c>
      <c r="F625" s="32">
        <f t="shared" si="21"/>
        <v>5335000</v>
      </c>
    </row>
    <row r="626" spans="1:8" ht="14.25" customHeight="1" x14ac:dyDescent="0.2">
      <c r="A626" s="19">
        <v>574</v>
      </c>
      <c r="B626" s="68">
        <v>46032</v>
      </c>
      <c r="C626" s="17" t="s">
        <v>645</v>
      </c>
      <c r="D626" s="73">
        <v>3047600</v>
      </c>
      <c r="E626" s="37"/>
      <c r="F626" s="32">
        <f t="shared" si="21"/>
        <v>8382600</v>
      </c>
    </row>
    <row r="627" spans="1:8" ht="16" x14ac:dyDescent="0.2">
      <c r="A627" s="19">
        <v>575</v>
      </c>
      <c r="B627" s="68">
        <v>46038</v>
      </c>
      <c r="C627" s="17" t="s">
        <v>659</v>
      </c>
      <c r="D627" s="73"/>
      <c r="E627" s="37">
        <v>1000000</v>
      </c>
      <c r="F627" s="32">
        <f t="shared" si="21"/>
        <v>7382600</v>
      </c>
    </row>
    <row r="628" spans="1:8" ht="14.25" customHeight="1" x14ac:dyDescent="0.2">
      <c r="A628" s="19">
        <v>576</v>
      </c>
      <c r="B628" s="68">
        <v>46042</v>
      </c>
      <c r="C628" s="17" t="s">
        <v>658</v>
      </c>
      <c r="D628" s="73">
        <v>2446000</v>
      </c>
      <c r="E628" s="37"/>
      <c r="F628" s="32">
        <f t="shared" si="21"/>
        <v>9828600</v>
      </c>
    </row>
    <row r="629" spans="1:8" ht="14.25" customHeight="1" x14ac:dyDescent="0.2">
      <c r="A629" s="19">
        <v>577</v>
      </c>
      <c r="B629" s="68">
        <v>46047</v>
      </c>
      <c r="C629" s="17" t="s">
        <v>660</v>
      </c>
      <c r="D629" s="73"/>
      <c r="E629" s="37">
        <v>600000</v>
      </c>
      <c r="F629" s="32">
        <f t="shared" si="21"/>
        <v>9228600</v>
      </c>
    </row>
    <row r="630" spans="1:8" ht="14.25" customHeight="1" x14ac:dyDescent="0.2">
      <c r="A630" s="19">
        <v>578</v>
      </c>
      <c r="B630" s="68">
        <v>46047</v>
      </c>
      <c r="C630" s="17" t="s">
        <v>669</v>
      </c>
      <c r="D630" s="73"/>
      <c r="E630" s="37">
        <v>200000</v>
      </c>
      <c r="F630" s="32">
        <f t="shared" si="21"/>
        <v>9028600</v>
      </c>
    </row>
    <row r="631" spans="1:8" ht="14.25" customHeight="1" x14ac:dyDescent="0.2">
      <c r="A631" s="19">
        <v>579</v>
      </c>
      <c r="B631" s="68">
        <v>46048</v>
      </c>
      <c r="C631" s="17" t="s">
        <v>661</v>
      </c>
      <c r="D631" s="73"/>
      <c r="E631" s="37">
        <v>2060000</v>
      </c>
      <c r="F631" s="32">
        <f t="shared" si="21"/>
        <v>6968600</v>
      </c>
      <c r="H631" s="67"/>
    </row>
    <row r="632" spans="1:8" ht="14.25" customHeight="1" x14ac:dyDescent="0.2">
      <c r="A632" s="19">
        <v>580</v>
      </c>
      <c r="B632" s="68">
        <v>46049</v>
      </c>
      <c r="C632" s="17" t="s">
        <v>670</v>
      </c>
      <c r="D632" s="73"/>
      <c r="E632" s="37">
        <v>150000</v>
      </c>
      <c r="F632" s="32">
        <f t="shared" si="21"/>
        <v>6818600</v>
      </c>
    </row>
    <row r="633" spans="1:8" ht="14.25" customHeight="1" x14ac:dyDescent="0.2">
      <c r="A633" s="19">
        <v>581</v>
      </c>
      <c r="B633" s="68">
        <v>46052</v>
      </c>
      <c r="C633" s="17" t="s">
        <v>662</v>
      </c>
      <c r="D633" s="73">
        <v>500000</v>
      </c>
      <c r="E633" s="37"/>
      <c r="F633" s="32">
        <f t="shared" si="21"/>
        <v>7318600</v>
      </c>
      <c r="H633" s="67"/>
    </row>
    <row r="634" spans="1:8" ht="14.25" customHeight="1" x14ac:dyDescent="0.2">
      <c r="A634" s="19">
        <v>582</v>
      </c>
      <c r="B634" s="68">
        <v>46053</v>
      </c>
      <c r="C634" s="17" t="s">
        <v>663</v>
      </c>
      <c r="D634" s="73"/>
      <c r="E634" s="37">
        <v>1200000</v>
      </c>
      <c r="F634" s="32">
        <f t="shared" si="21"/>
        <v>6118600</v>
      </c>
      <c r="H634" s="67"/>
    </row>
    <row r="635" spans="1:8" ht="14.25" customHeight="1" x14ac:dyDescent="0.2">
      <c r="A635" s="19">
        <v>583</v>
      </c>
      <c r="B635" s="68">
        <v>46053</v>
      </c>
      <c r="C635" s="17" t="s">
        <v>664</v>
      </c>
      <c r="D635" s="73"/>
      <c r="E635" s="37">
        <v>500000</v>
      </c>
      <c r="F635" s="32">
        <f t="shared" si="21"/>
        <v>5618600</v>
      </c>
      <c r="H635" s="67"/>
    </row>
    <row r="636" spans="1:8" ht="14.25" customHeight="1" x14ac:dyDescent="0.2">
      <c r="A636" s="19">
        <v>584</v>
      </c>
      <c r="B636" s="68">
        <v>46053</v>
      </c>
      <c r="C636" s="17" t="s">
        <v>645</v>
      </c>
      <c r="D636" s="73">
        <v>300000</v>
      </c>
      <c r="E636" s="37"/>
      <c r="F636" s="32">
        <f t="shared" si="21"/>
        <v>5918600</v>
      </c>
    </row>
    <row r="637" spans="1:8" ht="14.25" customHeight="1" x14ac:dyDescent="0.2">
      <c r="A637" s="19">
        <v>585</v>
      </c>
      <c r="B637" s="68">
        <v>46053</v>
      </c>
      <c r="C637" s="17" t="s">
        <v>665</v>
      </c>
      <c r="D637" s="73"/>
      <c r="E637" s="37">
        <v>1200000</v>
      </c>
      <c r="F637" s="32">
        <f t="shared" si="21"/>
        <v>4718600</v>
      </c>
    </row>
    <row r="638" spans="1:8" ht="14.25" customHeight="1" x14ac:dyDescent="0.2">
      <c r="A638" s="19">
        <v>586</v>
      </c>
      <c r="B638" s="68">
        <v>46056</v>
      </c>
      <c r="C638" s="17" t="s">
        <v>666</v>
      </c>
      <c r="D638" s="73"/>
      <c r="E638" s="37">
        <v>1930000</v>
      </c>
      <c r="F638" s="32">
        <f t="shared" si="21"/>
        <v>2788600</v>
      </c>
    </row>
    <row r="639" spans="1:8" ht="14.25" customHeight="1" x14ac:dyDescent="0.2">
      <c r="A639" s="19">
        <v>587</v>
      </c>
      <c r="B639" s="68">
        <v>46057</v>
      </c>
      <c r="C639" s="17" t="s">
        <v>645</v>
      </c>
      <c r="D639" s="73">
        <v>1000000</v>
      </c>
      <c r="E639" s="37"/>
      <c r="F639" s="32">
        <f t="shared" si="21"/>
        <v>3788600</v>
      </c>
    </row>
    <row r="640" spans="1:8" ht="14.25" customHeight="1" x14ac:dyDescent="0.2">
      <c r="A640" s="19">
        <v>588</v>
      </c>
      <c r="B640" s="68">
        <v>46062</v>
      </c>
      <c r="C640" s="17" t="s">
        <v>667</v>
      </c>
      <c r="D640" s="73"/>
      <c r="E640" s="37">
        <v>1160000</v>
      </c>
      <c r="F640" s="32">
        <f t="shared" si="21"/>
        <v>2628600</v>
      </c>
    </row>
    <row r="641" spans="1:6" ht="14.25" customHeight="1" x14ac:dyDescent="0.2">
      <c r="A641" s="19">
        <v>589</v>
      </c>
      <c r="B641" s="68">
        <v>46066</v>
      </c>
      <c r="C641" s="17" t="s">
        <v>328</v>
      </c>
      <c r="D641" s="73"/>
      <c r="E641" s="37">
        <v>500000</v>
      </c>
      <c r="F641" s="32">
        <f>F640+D641-E641</f>
        <v>2128600</v>
      </c>
    </row>
    <row r="642" spans="1:6" ht="14.25" customHeight="1" x14ac:dyDescent="0.2">
      <c r="A642" s="19">
        <v>590</v>
      </c>
      <c r="B642" s="68">
        <v>46067</v>
      </c>
      <c r="C642" s="17" t="s">
        <v>325</v>
      </c>
      <c r="D642" s="73"/>
      <c r="E642" s="37">
        <v>1500000</v>
      </c>
      <c r="F642" s="32">
        <f t="shared" ref="F642:F649" si="22">F641+D642-E642</f>
        <v>628600</v>
      </c>
    </row>
    <row r="643" spans="1:6" ht="14.25" customHeight="1" x14ac:dyDescent="0.2">
      <c r="A643" s="19">
        <v>591</v>
      </c>
      <c r="B643" s="68">
        <v>46071</v>
      </c>
      <c r="C643" s="17" t="s">
        <v>668</v>
      </c>
      <c r="D643" s="73"/>
      <c r="E643" s="37">
        <v>750000</v>
      </c>
      <c r="F643" s="32">
        <f t="shared" si="22"/>
        <v>-121400</v>
      </c>
    </row>
    <row r="644" spans="1:6" ht="14.25" customHeight="1" x14ac:dyDescent="0.2">
      <c r="A644" s="19">
        <v>592</v>
      </c>
      <c r="B644" s="68">
        <v>46072</v>
      </c>
      <c r="C644" s="17" t="s">
        <v>668</v>
      </c>
      <c r="D644" s="73"/>
      <c r="E644" s="37">
        <v>750000</v>
      </c>
      <c r="F644" s="32">
        <f t="shared" si="22"/>
        <v>-871400</v>
      </c>
    </row>
    <row r="645" spans="1:6" ht="14.25" customHeight="1" x14ac:dyDescent="0.2">
      <c r="A645" s="19">
        <v>593</v>
      </c>
      <c r="B645" s="68">
        <v>46073</v>
      </c>
      <c r="C645" s="17" t="s">
        <v>668</v>
      </c>
      <c r="D645" s="76"/>
      <c r="E645" s="77">
        <v>750000</v>
      </c>
      <c r="F645" s="32">
        <f t="shared" si="22"/>
        <v>-1621400</v>
      </c>
    </row>
    <row r="646" spans="1:6" ht="14.25" customHeight="1" x14ac:dyDescent="0.2">
      <c r="A646" s="19">
        <v>594</v>
      </c>
      <c r="B646" s="68">
        <v>46073</v>
      </c>
      <c r="C646" s="36" t="s">
        <v>671</v>
      </c>
      <c r="D646" s="37">
        <v>2940000</v>
      </c>
      <c r="E646" s="54"/>
      <c r="F646" s="79">
        <f t="shared" si="22"/>
        <v>1318600</v>
      </c>
    </row>
    <row r="647" spans="1:6" ht="14.25" customHeight="1" x14ac:dyDescent="0.2">
      <c r="A647" s="19">
        <v>595</v>
      </c>
      <c r="B647" s="68">
        <v>46074</v>
      </c>
      <c r="C647" s="36" t="s">
        <v>674</v>
      </c>
      <c r="D647" s="37">
        <v>10000000</v>
      </c>
      <c r="E647" s="54"/>
      <c r="F647" s="79">
        <f t="shared" si="22"/>
        <v>11318600</v>
      </c>
    </row>
    <row r="648" spans="1:6" ht="22" customHeight="1" x14ac:dyDescent="0.2">
      <c r="A648" s="19">
        <v>596</v>
      </c>
      <c r="B648" s="68">
        <v>46074</v>
      </c>
      <c r="C648" s="36" t="s">
        <v>675</v>
      </c>
      <c r="D648" s="37"/>
      <c r="E648" s="37">
        <v>1500000</v>
      </c>
      <c r="F648" s="79">
        <f t="shared" si="22"/>
        <v>9818600</v>
      </c>
    </row>
    <row r="649" spans="1:6" ht="16" x14ac:dyDescent="0.2">
      <c r="A649" s="19">
        <v>597</v>
      </c>
      <c r="B649" s="68">
        <v>46075</v>
      </c>
      <c r="C649" s="36" t="s">
        <v>675</v>
      </c>
      <c r="D649" s="37"/>
      <c r="E649" s="37">
        <v>750000</v>
      </c>
      <c r="F649" s="79">
        <f t="shared" si="22"/>
        <v>9068600</v>
      </c>
    </row>
    <row r="650" spans="1:6" ht="14.25" customHeight="1" x14ac:dyDescent="0.2">
      <c r="A650" s="19">
        <v>598</v>
      </c>
      <c r="B650" s="68">
        <v>46076</v>
      </c>
      <c r="C650" s="36" t="s">
        <v>675</v>
      </c>
      <c r="D650" s="37"/>
      <c r="E650" s="37">
        <v>750000</v>
      </c>
      <c r="F650" s="79">
        <f>F649+D650-E650</f>
        <v>8318600</v>
      </c>
    </row>
    <row r="651" spans="1:6" ht="18" customHeight="1" x14ac:dyDescent="0.2">
      <c r="A651" s="19">
        <v>599</v>
      </c>
      <c r="B651" s="68">
        <v>46077</v>
      </c>
      <c r="C651" s="36" t="s">
        <v>677</v>
      </c>
      <c r="D651" s="37"/>
      <c r="E651" s="37">
        <v>600000</v>
      </c>
      <c r="F651" s="79">
        <f>F650+D651-E651</f>
        <v>7718600</v>
      </c>
    </row>
    <row r="652" spans="1:6" ht="14.25" customHeight="1" x14ac:dyDescent="0.2">
      <c r="A652" s="19">
        <v>600</v>
      </c>
      <c r="B652" s="68">
        <v>46080</v>
      </c>
      <c r="C652" s="36" t="s">
        <v>678</v>
      </c>
      <c r="D652" s="37">
        <v>500000</v>
      </c>
      <c r="E652" s="37"/>
      <c r="F652" s="79">
        <f t="shared" ref="F652:F690" si="23">F651+D652-E652</f>
        <v>8218600</v>
      </c>
    </row>
    <row r="653" spans="1:6" ht="14.25" customHeight="1" x14ac:dyDescent="0.2">
      <c r="A653" s="19">
        <v>601</v>
      </c>
      <c r="B653" s="68">
        <v>46081</v>
      </c>
      <c r="C653" s="36" t="s">
        <v>645</v>
      </c>
      <c r="D653" s="37">
        <v>1500000</v>
      </c>
      <c r="E653" s="37"/>
      <c r="F653" s="79">
        <f t="shared" si="23"/>
        <v>9718600</v>
      </c>
    </row>
    <row r="654" spans="1:6" ht="14.25" customHeight="1" x14ac:dyDescent="0.2">
      <c r="A654" s="19">
        <v>602</v>
      </c>
      <c r="B654" s="68">
        <v>46082</v>
      </c>
      <c r="C654" s="36" t="s">
        <v>675</v>
      </c>
      <c r="D654" s="37"/>
      <c r="E654" s="37">
        <v>750000</v>
      </c>
      <c r="F654" s="79">
        <f t="shared" si="23"/>
        <v>8968600</v>
      </c>
    </row>
    <row r="655" spans="1:6" ht="14.25" customHeight="1" x14ac:dyDescent="0.2">
      <c r="A655" s="19">
        <v>603</v>
      </c>
      <c r="B655" s="68">
        <v>46088</v>
      </c>
      <c r="C655" s="36" t="s">
        <v>680</v>
      </c>
      <c r="D655" s="37"/>
      <c r="E655" s="37">
        <v>200000</v>
      </c>
      <c r="F655" s="79">
        <f t="shared" si="23"/>
        <v>8768600</v>
      </c>
    </row>
    <row r="656" spans="1:6" ht="14.25" customHeight="1" x14ac:dyDescent="0.2">
      <c r="A656" s="19">
        <v>604</v>
      </c>
      <c r="B656" s="68">
        <v>46089</v>
      </c>
      <c r="C656" s="36" t="s">
        <v>681</v>
      </c>
      <c r="D656" s="37">
        <v>3328000</v>
      </c>
      <c r="E656" s="37"/>
      <c r="F656" s="79">
        <f t="shared" si="23"/>
        <v>12096600</v>
      </c>
    </row>
    <row r="657" spans="1:6" ht="14.25" customHeight="1" x14ac:dyDescent="0.2">
      <c r="A657" s="19">
        <v>605</v>
      </c>
      <c r="B657" s="68">
        <v>46090</v>
      </c>
      <c r="C657" s="36" t="s">
        <v>132</v>
      </c>
      <c r="D657" s="37"/>
      <c r="E657" s="37">
        <v>600000</v>
      </c>
      <c r="F657" s="79">
        <f t="shared" si="23"/>
        <v>11496600</v>
      </c>
    </row>
    <row r="658" spans="1:6" ht="14.25" customHeight="1" x14ac:dyDescent="0.2">
      <c r="A658" s="19">
        <v>606</v>
      </c>
      <c r="B658" s="68">
        <v>46093</v>
      </c>
      <c r="C658" s="36" t="s">
        <v>682</v>
      </c>
      <c r="D658" s="37"/>
      <c r="E658" s="37">
        <v>1500000</v>
      </c>
      <c r="F658" s="79">
        <f t="shared" si="23"/>
        <v>9996600</v>
      </c>
    </row>
    <row r="659" spans="1:6" ht="14.25" customHeight="1" x14ac:dyDescent="0.2">
      <c r="A659" s="19">
        <v>607</v>
      </c>
      <c r="B659" s="68">
        <v>46094</v>
      </c>
      <c r="C659" s="36" t="s">
        <v>683</v>
      </c>
      <c r="D659" s="37"/>
      <c r="E659" s="37">
        <v>1100000</v>
      </c>
      <c r="F659" s="79">
        <f t="shared" si="23"/>
        <v>8896600</v>
      </c>
    </row>
    <row r="660" spans="1:6" ht="14.25" customHeight="1" x14ac:dyDescent="0.2">
      <c r="A660" s="19">
        <v>608</v>
      </c>
      <c r="B660" s="68">
        <v>46094</v>
      </c>
      <c r="C660" s="36" t="s">
        <v>684</v>
      </c>
      <c r="D660" s="37">
        <v>1982000</v>
      </c>
      <c r="E660" s="37"/>
      <c r="F660" s="79">
        <f t="shared" si="23"/>
        <v>10878600</v>
      </c>
    </row>
    <row r="661" spans="1:6" ht="14.25" customHeight="1" x14ac:dyDescent="0.2">
      <c r="A661" s="19">
        <v>609</v>
      </c>
      <c r="B661" s="68">
        <v>46096</v>
      </c>
      <c r="C661" s="36" t="s">
        <v>685</v>
      </c>
      <c r="D661" s="37"/>
      <c r="E661" s="37">
        <v>1000000</v>
      </c>
      <c r="F661" s="79">
        <f t="shared" si="23"/>
        <v>9878600</v>
      </c>
    </row>
    <row r="662" spans="1:6" ht="14.25" customHeight="1" x14ac:dyDescent="0.2">
      <c r="A662" s="19">
        <v>610</v>
      </c>
      <c r="B662" s="68">
        <v>46100</v>
      </c>
      <c r="C662" s="36" t="s">
        <v>686</v>
      </c>
      <c r="D662" s="37"/>
      <c r="E662" s="37">
        <v>1500000</v>
      </c>
      <c r="F662" s="79">
        <f t="shared" si="23"/>
        <v>8378600</v>
      </c>
    </row>
    <row r="663" spans="1:6" ht="14.25" customHeight="1" x14ac:dyDescent="0.2">
      <c r="A663" s="19">
        <v>611</v>
      </c>
      <c r="B663" s="68">
        <v>46106</v>
      </c>
      <c r="C663" s="36" t="s">
        <v>687</v>
      </c>
      <c r="D663" s="37"/>
      <c r="E663" s="37">
        <v>600000</v>
      </c>
      <c r="F663" s="79">
        <f t="shared" si="23"/>
        <v>7778600</v>
      </c>
    </row>
    <row r="664" spans="1:6" ht="14.25" customHeight="1" x14ac:dyDescent="0.2">
      <c r="A664" s="19">
        <v>612</v>
      </c>
      <c r="B664" s="68">
        <v>46110</v>
      </c>
      <c r="C664" s="36" t="s">
        <v>697</v>
      </c>
      <c r="D664" s="37">
        <v>500000</v>
      </c>
      <c r="E664" s="37"/>
      <c r="F664" s="79">
        <f t="shared" si="23"/>
        <v>8278600</v>
      </c>
    </row>
    <row r="665" spans="1:6" ht="14.25" customHeight="1" x14ac:dyDescent="0.2">
      <c r="A665" s="19">
        <v>613</v>
      </c>
      <c r="B665" s="68">
        <v>46118</v>
      </c>
      <c r="C665" s="36" t="s">
        <v>688</v>
      </c>
      <c r="D665" s="37">
        <v>675000</v>
      </c>
      <c r="E665" s="37"/>
      <c r="F665" s="79">
        <f t="shared" si="23"/>
        <v>8953600</v>
      </c>
    </row>
    <row r="666" spans="1:6" ht="14.25" customHeight="1" x14ac:dyDescent="0.2">
      <c r="A666" s="19">
        <v>614</v>
      </c>
      <c r="B666" s="68">
        <v>46119</v>
      </c>
      <c r="C666" s="36" t="s">
        <v>689</v>
      </c>
      <c r="D666" s="37">
        <v>3488000</v>
      </c>
      <c r="E666" s="37"/>
      <c r="F666" s="79">
        <f t="shared" si="23"/>
        <v>12441600</v>
      </c>
    </row>
    <row r="667" spans="1:6" ht="14.25" customHeight="1" x14ac:dyDescent="0.2">
      <c r="A667" s="19">
        <v>615</v>
      </c>
      <c r="B667" s="68">
        <v>46125</v>
      </c>
      <c r="C667" s="36" t="s">
        <v>691</v>
      </c>
      <c r="D667" s="37">
        <v>50000</v>
      </c>
      <c r="E667" s="37"/>
      <c r="F667" s="79">
        <f t="shared" si="23"/>
        <v>12491600</v>
      </c>
    </row>
    <row r="668" spans="1:6" ht="14.25" customHeight="1" x14ac:dyDescent="0.2">
      <c r="A668" s="19">
        <v>616</v>
      </c>
      <c r="B668" s="68">
        <v>46133</v>
      </c>
      <c r="C668" s="36" t="s">
        <v>692</v>
      </c>
      <c r="D668" s="37"/>
      <c r="E668" s="37">
        <v>1500000</v>
      </c>
      <c r="F668" s="79">
        <f t="shared" si="23"/>
        <v>10991600</v>
      </c>
    </row>
    <row r="669" spans="1:6" ht="14.25" customHeight="1" x14ac:dyDescent="0.2">
      <c r="A669" s="19">
        <v>617</v>
      </c>
      <c r="B669" s="68">
        <v>46133</v>
      </c>
      <c r="C669" s="36" t="s">
        <v>693</v>
      </c>
      <c r="D669" s="37"/>
      <c r="E669" s="37">
        <v>300000</v>
      </c>
      <c r="F669" s="79">
        <f t="shared" si="23"/>
        <v>10691600</v>
      </c>
    </row>
    <row r="670" spans="1:6" ht="14.25" customHeight="1" x14ac:dyDescent="0.2">
      <c r="A670" s="19">
        <v>618</v>
      </c>
      <c r="B670" s="68">
        <v>46137</v>
      </c>
      <c r="C670" s="36" t="s">
        <v>426</v>
      </c>
      <c r="D670" s="37"/>
      <c r="E670" s="37">
        <v>500000</v>
      </c>
      <c r="F670" s="79">
        <f t="shared" si="23"/>
        <v>10191600</v>
      </c>
    </row>
    <row r="671" spans="1:6" ht="14.25" customHeight="1" x14ac:dyDescent="0.2">
      <c r="A671" s="19">
        <v>619</v>
      </c>
      <c r="B671" s="68">
        <v>46137</v>
      </c>
      <c r="C671" s="36" t="s">
        <v>694</v>
      </c>
      <c r="D671" s="37"/>
      <c r="E671" s="37">
        <v>600000</v>
      </c>
      <c r="F671" s="79">
        <f t="shared" si="23"/>
        <v>9591600</v>
      </c>
    </row>
    <row r="672" spans="1:6" ht="16" x14ac:dyDescent="0.2">
      <c r="A672" s="19">
        <v>620</v>
      </c>
      <c r="B672" s="68">
        <v>46138</v>
      </c>
      <c r="C672" s="36" t="s">
        <v>698</v>
      </c>
      <c r="D672" s="37">
        <v>500000</v>
      </c>
      <c r="E672" s="37"/>
      <c r="F672" s="79">
        <f t="shared" si="23"/>
        <v>10091600</v>
      </c>
    </row>
    <row r="673" spans="1:10" ht="14.25" customHeight="1" x14ac:dyDescent="0.2">
      <c r="A673" s="19">
        <v>621</v>
      </c>
      <c r="B673" s="68">
        <v>46141</v>
      </c>
      <c r="C673" s="36" t="s">
        <v>695</v>
      </c>
      <c r="D673" s="37"/>
      <c r="E673" s="37">
        <v>800000</v>
      </c>
      <c r="F673" s="79">
        <f t="shared" si="23"/>
        <v>9291600</v>
      </c>
    </row>
    <row r="674" spans="1:10" ht="14.25" customHeight="1" x14ac:dyDescent="0.2">
      <c r="A674" s="19">
        <v>622</v>
      </c>
      <c r="B674" s="68">
        <v>46144</v>
      </c>
      <c r="C674" s="36" t="s">
        <v>696</v>
      </c>
      <c r="D674" s="37"/>
      <c r="E674" s="37">
        <v>500000</v>
      </c>
      <c r="F674" s="79">
        <f t="shared" si="23"/>
        <v>8791600</v>
      </c>
    </row>
    <row r="675" spans="1:10" ht="14.25" customHeight="1" x14ac:dyDescent="0.2">
      <c r="A675" s="19">
        <v>623</v>
      </c>
      <c r="B675" s="68">
        <v>46151</v>
      </c>
      <c r="C675" s="36" t="s">
        <v>426</v>
      </c>
      <c r="D675" s="37"/>
      <c r="E675" s="37">
        <v>500000</v>
      </c>
      <c r="F675" s="79">
        <f t="shared" si="23"/>
        <v>8291600</v>
      </c>
    </row>
    <row r="676" spans="1:10" ht="14.25" customHeight="1" x14ac:dyDescent="0.2">
      <c r="A676" s="19">
        <v>624</v>
      </c>
      <c r="B676" s="68">
        <v>46168</v>
      </c>
      <c r="C676" s="36" t="s">
        <v>699</v>
      </c>
      <c r="D676" s="37"/>
      <c r="E676" s="37">
        <v>600000</v>
      </c>
      <c r="F676" s="79">
        <f t="shared" si="23"/>
        <v>7691600</v>
      </c>
    </row>
    <row r="677" spans="1:10" ht="14.25" customHeight="1" x14ac:dyDescent="0.2">
      <c r="A677" s="19">
        <v>625</v>
      </c>
      <c r="B677" s="68">
        <v>46171</v>
      </c>
      <c r="C677" s="36" t="s">
        <v>700</v>
      </c>
      <c r="D677" s="37">
        <v>500000</v>
      </c>
      <c r="E677" s="37"/>
      <c r="F677" s="79">
        <f t="shared" si="23"/>
        <v>8191600</v>
      </c>
    </row>
    <row r="678" spans="1:10" ht="14.25" customHeight="1" x14ac:dyDescent="0.2">
      <c r="A678" s="19">
        <v>626</v>
      </c>
      <c r="B678" s="68">
        <v>46172</v>
      </c>
      <c r="C678" s="36" t="s">
        <v>701</v>
      </c>
      <c r="D678" s="37"/>
      <c r="E678" s="37">
        <v>300000</v>
      </c>
      <c r="F678" s="79">
        <f t="shared" si="23"/>
        <v>7891600</v>
      </c>
    </row>
    <row r="679" spans="1:10" ht="14.25" customHeight="1" x14ac:dyDescent="0.2">
      <c r="A679" s="19">
        <v>627</v>
      </c>
      <c r="B679" s="68">
        <v>46172</v>
      </c>
      <c r="C679" s="83" t="s">
        <v>702</v>
      </c>
      <c r="D679" s="37"/>
      <c r="E679" s="37">
        <v>800000</v>
      </c>
      <c r="F679" s="79">
        <f t="shared" si="23"/>
        <v>7091600</v>
      </c>
    </row>
    <row r="680" spans="1:10" ht="14.25" customHeight="1" x14ac:dyDescent="0.2">
      <c r="A680" s="19">
        <v>628</v>
      </c>
      <c r="B680" s="68">
        <v>46173</v>
      </c>
      <c r="C680" s="36" t="s">
        <v>703</v>
      </c>
      <c r="D680" s="37">
        <v>2115000</v>
      </c>
      <c r="E680" s="37"/>
      <c r="F680" s="79">
        <f t="shared" si="23"/>
        <v>9206600</v>
      </c>
    </row>
    <row r="681" spans="1:10" ht="14.25" customHeight="1" x14ac:dyDescent="0.2">
      <c r="A681" s="19">
        <v>629</v>
      </c>
      <c r="B681" s="68">
        <v>46173</v>
      </c>
      <c r="C681" s="36" t="s">
        <v>705</v>
      </c>
      <c r="D681" s="37">
        <v>4658001</v>
      </c>
      <c r="E681" s="37"/>
      <c r="F681" s="79">
        <f t="shared" si="23"/>
        <v>13864601</v>
      </c>
    </row>
    <row r="682" spans="1:10" ht="14.25" customHeight="1" x14ac:dyDescent="0.2">
      <c r="A682" s="19">
        <v>630</v>
      </c>
      <c r="B682" s="68">
        <v>46174</v>
      </c>
      <c r="C682" s="36" t="s">
        <v>583</v>
      </c>
      <c r="D682" s="37"/>
      <c r="E682" s="37">
        <v>500000</v>
      </c>
      <c r="F682" s="79">
        <f t="shared" si="23"/>
        <v>13364601</v>
      </c>
      <c r="J682" s="67"/>
    </row>
    <row r="683" spans="1:10" ht="14.25" customHeight="1" x14ac:dyDescent="0.2">
      <c r="A683" s="19">
        <v>631</v>
      </c>
      <c r="B683" s="68">
        <v>46194</v>
      </c>
      <c r="C683" s="36" t="s">
        <v>708</v>
      </c>
      <c r="D683" s="37">
        <v>966000</v>
      </c>
      <c r="E683" s="37"/>
      <c r="F683" s="79">
        <f t="shared" si="23"/>
        <v>14330601</v>
      </c>
    </row>
    <row r="684" spans="1:10" ht="14.25" customHeight="1" x14ac:dyDescent="0.2">
      <c r="A684" s="19">
        <v>632</v>
      </c>
      <c r="B684" s="68">
        <v>46194</v>
      </c>
      <c r="C684" s="36" t="s">
        <v>709</v>
      </c>
      <c r="D684" s="37">
        <v>3712000</v>
      </c>
      <c r="E684" s="37"/>
      <c r="F684" s="79">
        <f t="shared" si="23"/>
        <v>18042601</v>
      </c>
      <c r="J684" s="67"/>
    </row>
    <row r="685" spans="1:10" ht="14.25" customHeight="1" x14ac:dyDescent="0.2">
      <c r="A685" s="19">
        <v>633</v>
      </c>
      <c r="B685" s="68">
        <v>46198</v>
      </c>
      <c r="C685" s="36" t="s">
        <v>710</v>
      </c>
      <c r="D685" s="37"/>
      <c r="E685" s="37">
        <v>600000</v>
      </c>
      <c r="F685" s="79">
        <f t="shared" si="23"/>
        <v>17442601</v>
      </c>
    </row>
    <row r="686" spans="1:10" ht="14.25" customHeight="1" x14ac:dyDescent="0.2">
      <c r="A686" s="19">
        <v>634</v>
      </c>
      <c r="B686" s="68">
        <v>46199</v>
      </c>
      <c r="C686" s="36" t="s">
        <v>711</v>
      </c>
      <c r="D686" s="37"/>
      <c r="E686" s="37">
        <v>500000</v>
      </c>
      <c r="F686" s="79">
        <f t="shared" si="23"/>
        <v>16942601</v>
      </c>
    </row>
    <row r="687" spans="1:10" ht="14.25" customHeight="1" x14ac:dyDescent="0.2">
      <c r="A687" s="19">
        <v>635</v>
      </c>
      <c r="B687" s="68">
        <v>46204</v>
      </c>
      <c r="C687" s="36" t="s">
        <v>712</v>
      </c>
      <c r="D687" s="37"/>
      <c r="E687" s="37">
        <v>500000</v>
      </c>
      <c r="F687" s="79">
        <f t="shared" si="23"/>
        <v>16442601</v>
      </c>
    </row>
    <row r="688" spans="1:10" ht="14.25" customHeight="1" x14ac:dyDescent="0.2">
      <c r="A688" s="19">
        <v>636</v>
      </c>
      <c r="B688" s="68">
        <v>46213</v>
      </c>
      <c r="C688" s="36" t="s">
        <v>712</v>
      </c>
      <c r="D688" s="37"/>
      <c r="E688" s="37">
        <v>500000</v>
      </c>
      <c r="F688" s="79">
        <f t="shared" si="23"/>
        <v>15942601</v>
      </c>
    </row>
    <row r="689" spans="1:8" ht="14.25" customHeight="1" x14ac:dyDescent="0.2">
      <c r="A689" s="19">
        <v>637</v>
      </c>
      <c r="B689" s="68">
        <v>46220</v>
      </c>
      <c r="C689" s="36" t="s">
        <v>426</v>
      </c>
      <c r="D689" s="37"/>
      <c r="E689" s="37">
        <v>500000</v>
      </c>
      <c r="F689" s="79">
        <f t="shared" si="23"/>
        <v>15442601</v>
      </c>
      <c r="H689" s="67"/>
    </row>
    <row r="690" spans="1:8" ht="14.25" customHeight="1" x14ac:dyDescent="0.2">
      <c r="A690" s="19">
        <v>638</v>
      </c>
      <c r="B690" s="68">
        <v>46221</v>
      </c>
      <c r="C690" s="36" t="s">
        <v>708</v>
      </c>
      <c r="D690" s="37">
        <v>300000</v>
      </c>
      <c r="E690" s="37"/>
      <c r="F690" s="79">
        <f t="shared" si="23"/>
        <v>15742601</v>
      </c>
    </row>
    <row r="691" spans="1:8" ht="14.25" customHeight="1" x14ac:dyDescent="0.2">
      <c r="A691" s="19">
        <v>639</v>
      </c>
      <c r="B691" s="68"/>
      <c r="C691" s="36"/>
      <c r="D691" s="37"/>
      <c r="E691" s="37"/>
      <c r="F691" s="79"/>
    </row>
    <row r="692" spans="1:8" ht="14.25" customHeight="1" x14ac:dyDescent="0.2">
      <c r="A692" s="19">
        <v>640</v>
      </c>
      <c r="B692" s="68"/>
      <c r="C692" s="36"/>
      <c r="D692" s="37"/>
      <c r="E692" s="37"/>
      <c r="F692" s="79"/>
    </row>
    <row r="693" spans="1:8" ht="19" customHeight="1" x14ac:dyDescent="0.2">
      <c r="A693" s="19"/>
      <c r="B693" s="81"/>
      <c r="C693" s="80" t="s">
        <v>191</v>
      </c>
      <c r="D693" s="74"/>
      <c r="E693" s="74"/>
      <c r="F693" s="78">
        <f>F690</f>
        <v>15742601</v>
      </c>
    </row>
    <row r="694" spans="1:8" ht="14.25" customHeight="1" x14ac:dyDescent="0.2">
      <c r="B694" s="1"/>
      <c r="C694" s="1"/>
      <c r="D694" s="1"/>
      <c r="E694" s="1"/>
      <c r="F694" s="1"/>
    </row>
    <row r="695" spans="1:8" ht="14.25" customHeight="1" x14ac:dyDescent="0.2">
      <c r="B695" s="1"/>
      <c r="C695" s="1"/>
      <c r="D695" s="1"/>
      <c r="E695" s="23" t="s">
        <v>656</v>
      </c>
    </row>
    <row r="696" spans="1:8" ht="14.25" customHeight="1" x14ac:dyDescent="0.2">
      <c r="B696" s="91" t="s">
        <v>192</v>
      </c>
      <c r="C696" s="89"/>
      <c r="D696" s="1"/>
      <c r="E696" s="1"/>
      <c r="F696" s="1"/>
    </row>
    <row r="697" spans="1:8" ht="14.25" customHeight="1" x14ac:dyDescent="0.2">
      <c r="B697" s="23"/>
      <c r="C697" s="1"/>
      <c r="D697" s="1"/>
    </row>
    <row r="698" spans="1:8" ht="14.25" customHeight="1" x14ac:dyDescent="0.2">
      <c r="B698" s="22" t="s">
        <v>193</v>
      </c>
      <c r="C698" s="1"/>
      <c r="D698" s="1"/>
      <c r="E698" s="23" t="s">
        <v>194</v>
      </c>
    </row>
    <row r="699" spans="1:8" ht="14.25" customHeight="1" x14ac:dyDescent="0.2">
      <c r="B699" s="23"/>
      <c r="C699" s="1"/>
      <c r="D699" s="1"/>
      <c r="E699" s="1"/>
      <c r="F699" s="1"/>
    </row>
    <row r="700" spans="1:8" ht="14.25" customHeight="1" x14ac:dyDescent="0.2">
      <c r="B700" s="1"/>
      <c r="C700" s="1"/>
      <c r="D700" s="1"/>
      <c r="E700" s="1"/>
      <c r="F700" s="1"/>
    </row>
    <row r="701" spans="1:8" ht="14.25" customHeight="1" x14ac:dyDescent="0.2">
      <c r="B701" s="1" t="s">
        <v>195</v>
      </c>
      <c r="C701" s="1"/>
      <c r="D701" s="1"/>
      <c r="E701" s="23" t="s">
        <v>196</v>
      </c>
    </row>
    <row r="702" spans="1:8" ht="14.25" customHeight="1" x14ac:dyDescent="0.2">
      <c r="B702" s="1"/>
      <c r="C702" s="1"/>
      <c r="D702" s="1"/>
      <c r="E702" s="1"/>
      <c r="F702" s="1"/>
    </row>
    <row r="703" spans="1:8" ht="14.25" customHeight="1" x14ac:dyDescent="0.2">
      <c r="B703" s="23"/>
      <c r="C703" s="1"/>
      <c r="D703" s="1"/>
      <c r="E703">
        <v>2</v>
      </c>
    </row>
    <row r="704" spans="1:8" ht="14.25" customHeight="1" x14ac:dyDescent="0.2">
      <c r="B704" s="1"/>
      <c r="C704" s="1"/>
      <c r="D704" s="1"/>
    </row>
    <row r="705" spans="2:6" ht="14.25" customHeight="1" x14ac:dyDescent="0.2">
      <c r="B705" s="1"/>
      <c r="C705" s="1"/>
      <c r="D705" s="1"/>
      <c r="E705" s="1"/>
      <c r="F705" s="1"/>
    </row>
    <row r="706" spans="2:6" ht="14.25" customHeight="1" x14ac:dyDescent="0.2">
      <c r="B706" s="1"/>
      <c r="C706" s="1"/>
      <c r="D706" s="1"/>
      <c r="E706" s="1"/>
      <c r="F706" s="1"/>
    </row>
    <row r="707" spans="2:6" ht="14.25" customHeight="1" x14ac:dyDescent="0.2">
      <c r="B707" s="24" t="s">
        <v>197</v>
      </c>
      <c r="C707" s="1"/>
      <c r="D707" s="1"/>
      <c r="E707" s="1"/>
      <c r="F707" s="1"/>
    </row>
    <row r="708" spans="2:6" ht="14.25" customHeight="1" x14ac:dyDescent="0.2">
      <c r="B708" s="1"/>
      <c r="C708" s="1"/>
      <c r="D708" s="1"/>
      <c r="E708" s="1"/>
      <c r="F708" s="1"/>
    </row>
    <row r="709" spans="2:6" ht="14.25" customHeight="1" x14ac:dyDescent="0.2">
      <c r="B709" s="1"/>
      <c r="C709" s="1"/>
      <c r="D709" s="1"/>
      <c r="E709" s="1"/>
      <c r="F709" s="1"/>
    </row>
    <row r="710" spans="2:6" ht="14.25" customHeight="1" x14ac:dyDescent="0.2">
      <c r="B710" s="1"/>
      <c r="C710" s="1"/>
      <c r="D710" s="1"/>
      <c r="E710" s="1"/>
      <c r="F710" s="1"/>
    </row>
    <row r="711" spans="2:6" ht="14.25" customHeight="1" x14ac:dyDescent="0.2">
      <c r="B711" s="1"/>
      <c r="C711" s="1"/>
      <c r="D711" s="1"/>
      <c r="E711" s="1"/>
      <c r="F711" s="1"/>
    </row>
    <row r="712" spans="2:6" ht="14.25" customHeight="1" x14ac:dyDescent="0.2">
      <c r="B712" s="1"/>
      <c r="C712" s="1"/>
      <c r="D712" s="1"/>
      <c r="E712" s="1"/>
      <c r="F712" s="1"/>
    </row>
    <row r="713" spans="2:6" ht="14.25" customHeight="1" x14ac:dyDescent="0.2">
      <c r="B713" s="1"/>
      <c r="C713" s="1"/>
      <c r="D713" s="1"/>
      <c r="E713" s="1"/>
      <c r="F713" s="1"/>
    </row>
    <row r="714" spans="2:6" ht="14.25" customHeight="1" x14ac:dyDescent="0.2">
      <c r="B714" s="1"/>
      <c r="C714" s="1"/>
      <c r="D714" s="1"/>
      <c r="E714" s="1"/>
      <c r="F714" s="1"/>
    </row>
    <row r="715" spans="2:6" ht="14.25" customHeight="1" x14ac:dyDescent="0.2">
      <c r="B715" s="1"/>
      <c r="C715" s="1"/>
      <c r="D715" s="1"/>
      <c r="E715" s="1"/>
      <c r="F715" s="1"/>
    </row>
    <row r="716" spans="2:6" ht="14.25" customHeight="1" x14ac:dyDescent="0.2">
      <c r="B716" s="1"/>
      <c r="C716" s="1"/>
      <c r="D716" s="1"/>
      <c r="E716" s="1"/>
      <c r="F716" s="1"/>
    </row>
    <row r="717" spans="2:6" ht="14.25" customHeight="1" x14ac:dyDescent="0.2">
      <c r="B717" s="1"/>
      <c r="C717" s="1"/>
      <c r="D717" s="1"/>
      <c r="E717" s="1"/>
      <c r="F717" s="1"/>
    </row>
    <row r="718" spans="2:6" ht="14.25" customHeight="1" x14ac:dyDescent="0.2">
      <c r="B718" s="1"/>
      <c r="C718" s="1"/>
      <c r="D718" s="1"/>
      <c r="E718" s="1"/>
      <c r="F718" s="1"/>
    </row>
    <row r="719" spans="2:6" ht="14.25" customHeight="1" x14ac:dyDescent="0.2">
      <c r="B719" s="1"/>
      <c r="C719" s="1"/>
      <c r="D719" s="1"/>
      <c r="E719" s="1"/>
      <c r="F719" s="1"/>
    </row>
    <row r="720" spans="2:6" ht="14.25" customHeight="1" x14ac:dyDescent="0.2">
      <c r="B720" s="1"/>
      <c r="C720" s="1"/>
      <c r="D720" s="1"/>
      <c r="E720" s="1"/>
      <c r="F720" s="1"/>
    </row>
    <row r="721" spans="2:6" ht="14.25" customHeight="1" x14ac:dyDescent="0.2">
      <c r="B721" s="1"/>
      <c r="C721" s="1"/>
      <c r="D721" s="1"/>
      <c r="E721" s="1"/>
      <c r="F721" s="1"/>
    </row>
    <row r="722" spans="2:6" ht="14.25" customHeight="1" x14ac:dyDescent="0.2">
      <c r="B722" s="1"/>
      <c r="C722" s="1"/>
      <c r="D722" s="1"/>
      <c r="E722" s="1"/>
      <c r="F722" s="1"/>
    </row>
    <row r="723" spans="2:6" ht="14.25" customHeight="1" x14ac:dyDescent="0.2">
      <c r="B723" s="1"/>
      <c r="C723" s="1"/>
      <c r="D723" s="1"/>
      <c r="E723" s="1"/>
      <c r="F723" s="1"/>
    </row>
    <row r="724" spans="2:6" ht="14.25" customHeight="1" x14ac:dyDescent="0.2">
      <c r="B724" s="1"/>
      <c r="C724" s="1"/>
      <c r="D724" s="1"/>
      <c r="E724" s="1"/>
      <c r="F724" s="1"/>
    </row>
    <row r="725" spans="2:6" ht="14.25" customHeight="1" x14ac:dyDescent="0.2">
      <c r="B725" s="1"/>
      <c r="C725" s="1"/>
      <c r="D725" s="1"/>
      <c r="E725" s="1"/>
      <c r="F725" s="1"/>
    </row>
    <row r="726" spans="2:6" ht="14.25" customHeight="1" x14ac:dyDescent="0.2">
      <c r="B726" s="1"/>
      <c r="C726" s="1"/>
      <c r="D726" s="1"/>
      <c r="E726" s="1"/>
      <c r="F726" s="1"/>
    </row>
    <row r="727" spans="2:6" ht="14.25" customHeight="1" x14ac:dyDescent="0.2">
      <c r="B727" s="1"/>
      <c r="C727" s="1"/>
      <c r="D727" s="1"/>
      <c r="E727" s="1"/>
      <c r="F727" s="1"/>
    </row>
    <row r="728" spans="2:6" ht="14.25" customHeight="1" x14ac:dyDescent="0.2">
      <c r="B728" s="1"/>
      <c r="C728" s="1"/>
      <c r="D728" s="1"/>
      <c r="E728" s="1"/>
      <c r="F728" s="1"/>
    </row>
    <row r="729" spans="2:6" ht="14.25" customHeight="1" x14ac:dyDescent="0.2">
      <c r="B729" s="1"/>
      <c r="C729" s="1"/>
      <c r="D729" s="1"/>
      <c r="E729" s="1"/>
      <c r="F729" s="1"/>
    </row>
    <row r="730" spans="2:6" ht="14.25" customHeight="1" x14ac:dyDescent="0.2">
      <c r="B730" s="1"/>
      <c r="C730" s="1"/>
      <c r="D730" s="1"/>
      <c r="E730" s="1"/>
      <c r="F730" s="1"/>
    </row>
    <row r="731" spans="2:6" ht="14.25" customHeight="1" x14ac:dyDescent="0.2">
      <c r="B731" s="1"/>
      <c r="C731" s="1"/>
      <c r="D731" s="1"/>
      <c r="E731" s="1"/>
      <c r="F731" s="1"/>
    </row>
    <row r="732" spans="2:6" ht="14.25" customHeight="1" x14ac:dyDescent="0.2">
      <c r="B732" s="1"/>
      <c r="C732" s="1"/>
      <c r="D732" s="1"/>
      <c r="E732" s="1"/>
      <c r="F732" s="1"/>
    </row>
    <row r="733" spans="2:6" ht="14.25" customHeight="1" x14ac:dyDescent="0.2">
      <c r="B733" s="1"/>
      <c r="C733" s="1"/>
      <c r="D733" s="1"/>
      <c r="E733" s="1"/>
      <c r="F733" s="1"/>
    </row>
    <row r="734" spans="2:6" ht="14.25" customHeight="1" x14ac:dyDescent="0.2">
      <c r="B734" s="1"/>
      <c r="C734" s="1"/>
      <c r="D734" s="1"/>
      <c r="E734" s="1"/>
      <c r="F734" s="1"/>
    </row>
    <row r="735" spans="2:6" ht="14.25" customHeight="1" x14ac:dyDescent="0.2">
      <c r="B735" s="1"/>
      <c r="C735" s="1"/>
      <c r="D735" s="1"/>
      <c r="E735" s="1"/>
      <c r="F735" s="1"/>
    </row>
    <row r="736" spans="2:6" ht="14.25" customHeight="1" x14ac:dyDescent="0.2">
      <c r="B736" s="1"/>
      <c r="C736" s="1"/>
      <c r="D736" s="1"/>
      <c r="E736" s="1"/>
      <c r="F736" s="1"/>
    </row>
    <row r="737" spans="2:6" ht="14.25" customHeight="1" x14ac:dyDescent="0.2">
      <c r="B737" s="1"/>
      <c r="C737" s="1"/>
      <c r="D737" s="1"/>
      <c r="E737" s="1"/>
      <c r="F737" s="1"/>
    </row>
    <row r="738" spans="2:6" ht="14.25" customHeight="1" x14ac:dyDescent="0.2">
      <c r="B738" s="1"/>
      <c r="C738" s="1"/>
      <c r="D738" s="1"/>
      <c r="E738" s="1"/>
      <c r="F738" s="1"/>
    </row>
    <row r="739" spans="2:6" ht="14.25" customHeight="1" x14ac:dyDescent="0.2">
      <c r="B739" s="1"/>
      <c r="C739" s="1"/>
      <c r="D739" s="1"/>
      <c r="E739" s="1"/>
      <c r="F739" s="1"/>
    </row>
    <row r="740" spans="2:6" ht="14.25" customHeight="1" x14ac:dyDescent="0.2">
      <c r="B740" s="1"/>
      <c r="C740" s="1"/>
      <c r="D740" s="1"/>
      <c r="E740" s="1"/>
      <c r="F740" s="1"/>
    </row>
    <row r="741" spans="2:6" ht="14.25" customHeight="1" x14ac:dyDescent="0.2">
      <c r="B741" s="1"/>
      <c r="C741" s="1"/>
      <c r="D741" s="1"/>
      <c r="E741" s="1"/>
      <c r="F741" s="1"/>
    </row>
    <row r="742" spans="2:6" ht="14.25" customHeight="1" x14ac:dyDescent="0.2">
      <c r="B742" s="1"/>
      <c r="C742" s="1"/>
      <c r="D742" s="1"/>
      <c r="E742" s="1"/>
      <c r="F742" s="1"/>
    </row>
    <row r="743" spans="2:6" ht="14.25" customHeight="1" x14ac:dyDescent="0.2">
      <c r="B743" s="1"/>
      <c r="C743" s="1"/>
      <c r="D743" s="1"/>
      <c r="E743" s="1"/>
      <c r="F743" s="1"/>
    </row>
    <row r="744" spans="2:6" ht="14.25" customHeight="1" x14ac:dyDescent="0.2">
      <c r="B744" s="1"/>
      <c r="C744" s="1"/>
      <c r="D744" s="1"/>
      <c r="E744" s="1"/>
      <c r="F744" s="1"/>
    </row>
    <row r="745" spans="2:6" ht="14.25" customHeight="1" x14ac:dyDescent="0.2">
      <c r="B745" s="1"/>
      <c r="C745" s="1"/>
      <c r="D745" s="1"/>
      <c r="E745" s="1"/>
      <c r="F745" s="1"/>
    </row>
    <row r="746" spans="2:6" ht="14.25" customHeight="1" x14ac:dyDescent="0.2">
      <c r="B746" s="1"/>
      <c r="C746" s="1"/>
      <c r="D746" s="1"/>
      <c r="E746" s="1"/>
      <c r="F746" s="1"/>
    </row>
    <row r="747" spans="2:6" ht="14.25" customHeight="1" x14ac:dyDescent="0.2">
      <c r="B747" s="1"/>
      <c r="C747" s="1"/>
      <c r="D747" s="1"/>
      <c r="E747" s="1"/>
      <c r="F747" s="1"/>
    </row>
    <row r="748" spans="2:6" ht="14.25" customHeight="1" x14ac:dyDescent="0.2">
      <c r="B748" s="1"/>
      <c r="C748" s="1"/>
      <c r="D748" s="1"/>
      <c r="E748" s="1"/>
      <c r="F748" s="1"/>
    </row>
    <row r="749" spans="2:6" ht="14.25" customHeight="1" x14ac:dyDescent="0.2">
      <c r="B749" s="1"/>
      <c r="C749" s="1"/>
      <c r="D749" s="1"/>
      <c r="E749" s="1"/>
      <c r="F749" s="1"/>
    </row>
    <row r="750" spans="2:6" ht="14.25" customHeight="1" x14ac:dyDescent="0.2">
      <c r="B750" s="1"/>
      <c r="C750" s="1"/>
      <c r="D750" s="1"/>
      <c r="E750" s="1"/>
      <c r="F750" s="1"/>
    </row>
    <row r="751" spans="2:6" ht="14.25" customHeight="1" x14ac:dyDescent="0.2">
      <c r="B751" s="1"/>
      <c r="C751" s="1"/>
      <c r="D751" s="1"/>
      <c r="E751" s="1"/>
      <c r="F751" s="1"/>
    </row>
    <row r="752" spans="2:6" ht="14.25" customHeight="1" x14ac:dyDescent="0.2">
      <c r="B752" s="1"/>
      <c r="C752" s="1"/>
      <c r="D752" s="1"/>
      <c r="E752" s="1"/>
      <c r="F752" s="1"/>
    </row>
    <row r="753" spans="2:6" ht="14.25" customHeight="1" x14ac:dyDescent="0.2">
      <c r="B753" s="1"/>
      <c r="C753" s="1"/>
      <c r="D753" s="1"/>
      <c r="E753" s="1"/>
      <c r="F753" s="1"/>
    </row>
    <row r="754" spans="2:6" ht="14.25" customHeight="1" x14ac:dyDescent="0.2">
      <c r="B754" s="1"/>
      <c r="C754" s="1"/>
      <c r="D754" s="1"/>
      <c r="E754" s="1"/>
      <c r="F754" s="1"/>
    </row>
    <row r="755" spans="2:6" ht="14.25" customHeight="1" x14ac:dyDescent="0.2">
      <c r="B755" s="1"/>
      <c r="C755" s="1"/>
      <c r="D755" s="1"/>
      <c r="E755" s="1"/>
      <c r="F755" s="1"/>
    </row>
    <row r="756" spans="2:6" ht="14.25" customHeight="1" x14ac:dyDescent="0.2">
      <c r="B756" s="1"/>
      <c r="C756" s="1"/>
      <c r="D756" s="1"/>
      <c r="E756" s="1"/>
      <c r="F756" s="1"/>
    </row>
    <row r="757" spans="2:6" ht="14.25" customHeight="1" x14ac:dyDescent="0.2">
      <c r="B757" s="1"/>
      <c r="C757" s="1"/>
      <c r="D757" s="1"/>
      <c r="E757" s="1"/>
      <c r="F757" s="1"/>
    </row>
    <row r="758" spans="2:6" ht="14.25" customHeight="1" x14ac:dyDescent="0.2">
      <c r="B758" s="1"/>
      <c r="C758" s="1"/>
      <c r="D758" s="1"/>
      <c r="E758" s="1"/>
      <c r="F758" s="1"/>
    </row>
    <row r="759" spans="2:6" ht="14.25" customHeight="1" x14ac:dyDescent="0.2">
      <c r="B759" s="1"/>
      <c r="C759" s="1"/>
      <c r="D759" s="1"/>
      <c r="E759" s="1"/>
      <c r="F759" s="1"/>
    </row>
    <row r="760" spans="2:6" ht="14.25" customHeight="1" x14ac:dyDescent="0.2">
      <c r="B760" s="1"/>
      <c r="C760" s="1"/>
      <c r="D760" s="1"/>
      <c r="E760" s="1"/>
      <c r="F760" s="1"/>
    </row>
    <row r="761" spans="2:6" ht="14.25" customHeight="1" x14ac:dyDescent="0.2">
      <c r="B761" s="1"/>
      <c r="C761" s="1"/>
      <c r="D761" s="1"/>
      <c r="E761" s="1"/>
      <c r="F761" s="1"/>
    </row>
    <row r="762" spans="2:6" ht="14.25" customHeight="1" x14ac:dyDescent="0.2">
      <c r="B762" s="1"/>
      <c r="C762" s="1"/>
      <c r="D762" s="1"/>
      <c r="E762" s="1"/>
      <c r="F762" s="1"/>
    </row>
    <row r="763" spans="2:6" ht="14.25" customHeight="1" x14ac:dyDescent="0.2"/>
    <row r="764" spans="2:6" ht="14.25" customHeight="1" x14ac:dyDescent="0.2"/>
    <row r="765" spans="2:6" ht="14.25" customHeight="1" x14ac:dyDescent="0.2"/>
    <row r="766" spans="2:6" ht="14.25" customHeight="1" x14ac:dyDescent="0.2"/>
    <row r="767" spans="2:6" ht="14.25" customHeight="1" x14ac:dyDescent="0.2"/>
    <row r="768" spans="2:6" ht="14.25" customHeight="1" x14ac:dyDescent="0.2"/>
    <row r="769" ht="14.25" customHeight="1" x14ac:dyDescent="0.2"/>
    <row r="770" ht="14.25" customHeight="1" x14ac:dyDescent="0.2"/>
    <row r="771" ht="14.25" customHeight="1" x14ac:dyDescent="0.2"/>
    <row r="772" ht="14.25" customHeight="1" x14ac:dyDescent="0.2"/>
    <row r="773" ht="14.25" customHeight="1" x14ac:dyDescent="0.2"/>
    <row r="774" ht="14.25" customHeight="1" x14ac:dyDescent="0.2"/>
    <row r="775" ht="14.25" customHeight="1" x14ac:dyDescent="0.2"/>
    <row r="776" ht="14.25" customHeight="1" x14ac:dyDescent="0.2"/>
    <row r="777" ht="14.25" customHeight="1" x14ac:dyDescent="0.2"/>
    <row r="778" ht="14.25" customHeight="1" x14ac:dyDescent="0.2"/>
    <row r="779" ht="14.25" customHeight="1" x14ac:dyDescent="0.2"/>
    <row r="780" ht="14.25" customHeight="1" x14ac:dyDescent="0.2"/>
    <row r="781" ht="14.25" customHeight="1" x14ac:dyDescent="0.2"/>
    <row r="782" ht="14.25" customHeight="1" x14ac:dyDescent="0.2"/>
    <row r="783" ht="14.25" customHeight="1" x14ac:dyDescent="0.2"/>
    <row r="784" ht="14.25" customHeight="1" x14ac:dyDescent="0.2"/>
    <row r="785" ht="14.25" customHeight="1" x14ac:dyDescent="0.2"/>
    <row r="786" ht="14.25" customHeight="1" x14ac:dyDescent="0.2"/>
    <row r="787" ht="14.25" customHeight="1" x14ac:dyDescent="0.2"/>
    <row r="788" ht="14.25" customHeight="1" x14ac:dyDescent="0.2"/>
    <row r="789" ht="14.25" customHeight="1" x14ac:dyDescent="0.2"/>
    <row r="790" ht="14.25" customHeight="1" x14ac:dyDescent="0.2"/>
    <row r="791" ht="14.25" customHeight="1" x14ac:dyDescent="0.2"/>
    <row r="792" ht="14.25" customHeight="1" x14ac:dyDescent="0.2"/>
    <row r="793" ht="14.25" customHeight="1" x14ac:dyDescent="0.2"/>
    <row r="794" ht="14.25" customHeight="1" x14ac:dyDescent="0.2"/>
    <row r="795" ht="14.25" customHeight="1" x14ac:dyDescent="0.2"/>
    <row r="796" ht="14.25" customHeight="1" x14ac:dyDescent="0.2"/>
    <row r="797" ht="14.25" customHeight="1" x14ac:dyDescent="0.2"/>
    <row r="798" ht="14.25" customHeight="1" x14ac:dyDescent="0.2"/>
    <row r="799" ht="14.25" customHeight="1" x14ac:dyDescent="0.2"/>
    <row r="800" ht="14.25" customHeight="1" x14ac:dyDescent="0.2"/>
    <row r="801" ht="14.25" customHeight="1" x14ac:dyDescent="0.2"/>
    <row r="802" ht="14.25" customHeight="1" x14ac:dyDescent="0.2"/>
    <row r="803" ht="14.25" customHeight="1" x14ac:dyDescent="0.2"/>
    <row r="804" ht="14.25" customHeight="1" x14ac:dyDescent="0.2"/>
    <row r="805" ht="14.25" customHeight="1" x14ac:dyDescent="0.2"/>
    <row r="806" ht="14.25" customHeight="1" x14ac:dyDescent="0.2"/>
    <row r="807" ht="14.25" customHeight="1" x14ac:dyDescent="0.2"/>
    <row r="808" ht="14.25" customHeight="1" x14ac:dyDescent="0.2"/>
    <row r="809" ht="14.25" customHeight="1" x14ac:dyDescent="0.2"/>
    <row r="810" ht="14.25" customHeight="1" x14ac:dyDescent="0.2"/>
    <row r="811" ht="14.25" customHeight="1" x14ac:dyDescent="0.2"/>
    <row r="812" ht="14.25" customHeight="1" x14ac:dyDescent="0.2"/>
    <row r="813" ht="14.25" customHeight="1" x14ac:dyDescent="0.2"/>
    <row r="814" ht="14.25" customHeight="1" x14ac:dyDescent="0.2"/>
    <row r="815" ht="14.25" customHeight="1" x14ac:dyDescent="0.2"/>
    <row r="816" ht="14.25" customHeight="1" x14ac:dyDescent="0.2"/>
    <row r="817" ht="14.25" customHeight="1" x14ac:dyDescent="0.2"/>
    <row r="818" ht="14.25" customHeight="1" x14ac:dyDescent="0.2"/>
    <row r="819" ht="14.25" customHeight="1" x14ac:dyDescent="0.2"/>
    <row r="820" ht="14.25" customHeight="1" x14ac:dyDescent="0.2"/>
    <row r="821" ht="14.25" customHeight="1" x14ac:dyDescent="0.2"/>
    <row r="822" ht="14.25" customHeight="1" x14ac:dyDescent="0.2"/>
    <row r="823" ht="14.25" customHeight="1" x14ac:dyDescent="0.2"/>
    <row r="824" ht="14.25" customHeight="1" x14ac:dyDescent="0.2"/>
    <row r="825" ht="14.25" customHeight="1" x14ac:dyDescent="0.2"/>
    <row r="826" ht="14.25" customHeight="1" x14ac:dyDescent="0.2"/>
    <row r="827" ht="14.25" customHeight="1" x14ac:dyDescent="0.2"/>
    <row r="828" ht="14.25" customHeight="1" x14ac:dyDescent="0.2"/>
    <row r="829" ht="14.25" customHeight="1" x14ac:dyDescent="0.2"/>
    <row r="830" ht="14.25" customHeight="1" x14ac:dyDescent="0.2"/>
    <row r="831" ht="14.25" customHeight="1" x14ac:dyDescent="0.2"/>
    <row r="832" ht="14.25" customHeight="1" x14ac:dyDescent="0.2"/>
    <row r="833" ht="14.25" customHeight="1" x14ac:dyDescent="0.2"/>
    <row r="834" ht="14.25" customHeight="1" x14ac:dyDescent="0.2"/>
    <row r="835" ht="14.25" customHeight="1" x14ac:dyDescent="0.2"/>
    <row r="836" ht="14.25" customHeight="1" x14ac:dyDescent="0.2"/>
    <row r="837" ht="14.25" customHeight="1" x14ac:dyDescent="0.2"/>
    <row r="838" ht="14.25" customHeight="1" x14ac:dyDescent="0.2"/>
    <row r="839" ht="14.25" customHeight="1" x14ac:dyDescent="0.2"/>
    <row r="840" ht="14.25" customHeight="1" x14ac:dyDescent="0.2"/>
    <row r="841" ht="14.25" customHeight="1" x14ac:dyDescent="0.2"/>
    <row r="842" ht="14.25" customHeight="1" x14ac:dyDescent="0.2"/>
    <row r="843" ht="14.25" customHeight="1" x14ac:dyDescent="0.2"/>
    <row r="844" ht="14.25" customHeight="1" x14ac:dyDescent="0.2"/>
    <row r="845" ht="14.25" customHeight="1" x14ac:dyDescent="0.2"/>
    <row r="846" ht="14.25" customHeight="1" x14ac:dyDescent="0.2"/>
    <row r="847" ht="14.25" customHeight="1" x14ac:dyDescent="0.2"/>
    <row r="848" ht="14.25" customHeight="1" x14ac:dyDescent="0.2"/>
    <row r="849" ht="14.25" customHeight="1" x14ac:dyDescent="0.2"/>
    <row r="850" ht="14.25" customHeight="1" x14ac:dyDescent="0.2"/>
    <row r="851" ht="14.25" customHeight="1" x14ac:dyDescent="0.2"/>
    <row r="852" ht="14.25" customHeight="1" x14ac:dyDescent="0.2"/>
    <row r="853" ht="14.25" customHeight="1" x14ac:dyDescent="0.2"/>
    <row r="854" ht="14.25" customHeight="1" x14ac:dyDescent="0.2"/>
    <row r="855" ht="14.25" customHeight="1" x14ac:dyDescent="0.2"/>
    <row r="856" ht="14.25" customHeight="1" x14ac:dyDescent="0.2"/>
    <row r="857" ht="14.25" customHeight="1" x14ac:dyDescent="0.2"/>
    <row r="858" ht="14.25" customHeight="1" x14ac:dyDescent="0.2"/>
    <row r="859" ht="14.25" customHeight="1" x14ac:dyDescent="0.2"/>
    <row r="860" ht="14.25" customHeight="1" x14ac:dyDescent="0.2"/>
    <row r="861" ht="14.25" customHeight="1" x14ac:dyDescent="0.2"/>
    <row r="862" ht="14.25" customHeight="1" x14ac:dyDescent="0.2"/>
    <row r="863" ht="14.25" customHeight="1" x14ac:dyDescent="0.2"/>
    <row r="864" ht="14.25" customHeight="1" x14ac:dyDescent="0.2"/>
    <row r="865" ht="14.25" customHeight="1" x14ac:dyDescent="0.2"/>
    <row r="866" ht="14.25" customHeight="1" x14ac:dyDescent="0.2"/>
    <row r="867" ht="14.25" customHeight="1" x14ac:dyDescent="0.2"/>
    <row r="868" ht="14.25" customHeight="1" x14ac:dyDescent="0.2"/>
    <row r="869" ht="14.25" customHeight="1" x14ac:dyDescent="0.2"/>
    <row r="870" ht="14.25" customHeight="1" x14ac:dyDescent="0.2"/>
    <row r="871" ht="14.25" customHeight="1" x14ac:dyDescent="0.2"/>
    <row r="872" ht="14.25" customHeight="1" x14ac:dyDescent="0.2"/>
    <row r="873" ht="14.25" customHeight="1" x14ac:dyDescent="0.2"/>
    <row r="874" ht="14.25" customHeight="1" x14ac:dyDescent="0.2"/>
    <row r="875" ht="14.25" customHeight="1" x14ac:dyDescent="0.2"/>
    <row r="876" ht="14.25" customHeight="1" x14ac:dyDescent="0.2"/>
    <row r="877" ht="14.25" customHeight="1" x14ac:dyDescent="0.2"/>
    <row r="878" ht="14.25" customHeight="1" x14ac:dyDescent="0.2"/>
    <row r="879" ht="14.25" customHeight="1" x14ac:dyDescent="0.2"/>
    <row r="880" ht="14.25" customHeight="1" x14ac:dyDescent="0.2"/>
    <row r="881" ht="14.25" customHeight="1" x14ac:dyDescent="0.2"/>
    <row r="882" ht="14.25" customHeight="1" x14ac:dyDescent="0.2"/>
    <row r="883" ht="14.25" customHeight="1" x14ac:dyDescent="0.2"/>
    <row r="884" ht="14.25" customHeight="1" x14ac:dyDescent="0.2"/>
    <row r="885" ht="14.25" customHeight="1" x14ac:dyDescent="0.2"/>
    <row r="886" ht="14.25" customHeight="1" x14ac:dyDescent="0.2"/>
    <row r="887" ht="14.25" customHeight="1" x14ac:dyDescent="0.2"/>
    <row r="888" ht="14.25" customHeight="1" x14ac:dyDescent="0.2"/>
    <row r="889" ht="14.25" customHeight="1" x14ac:dyDescent="0.2"/>
    <row r="890" ht="14.25" customHeight="1" x14ac:dyDescent="0.2"/>
    <row r="891" ht="14.25" customHeight="1" x14ac:dyDescent="0.2"/>
    <row r="892" ht="14.25" customHeight="1" x14ac:dyDescent="0.2"/>
    <row r="893" ht="14.25" customHeight="1" x14ac:dyDescent="0.2"/>
    <row r="894" ht="14.25" customHeight="1" x14ac:dyDescent="0.2"/>
    <row r="895" ht="14.25" customHeight="1" x14ac:dyDescent="0.2"/>
    <row r="896" ht="14.25" customHeight="1" x14ac:dyDescent="0.2"/>
    <row r="897" ht="14.25" customHeight="1" x14ac:dyDescent="0.2"/>
    <row r="898" ht="14.25" customHeight="1" x14ac:dyDescent="0.2"/>
    <row r="899" ht="14.25" customHeight="1" x14ac:dyDescent="0.2"/>
    <row r="900" ht="14.25" customHeight="1" x14ac:dyDescent="0.2"/>
    <row r="901" ht="14.25" customHeight="1" x14ac:dyDescent="0.2"/>
    <row r="902" ht="14.25" customHeight="1" x14ac:dyDescent="0.2"/>
    <row r="903" ht="14.25" customHeight="1" x14ac:dyDescent="0.2"/>
    <row r="904" ht="14.25" customHeight="1" x14ac:dyDescent="0.2"/>
    <row r="905" ht="14.25" customHeight="1" x14ac:dyDescent="0.2"/>
    <row r="906" ht="14.25" customHeight="1" x14ac:dyDescent="0.2"/>
    <row r="907" ht="14.25" customHeight="1" x14ac:dyDescent="0.2"/>
    <row r="908" ht="14.25" customHeight="1" x14ac:dyDescent="0.2"/>
    <row r="909" ht="14.25" customHeight="1" x14ac:dyDescent="0.2"/>
    <row r="910" ht="14.25" customHeight="1" x14ac:dyDescent="0.2"/>
    <row r="911" ht="14.25" customHeight="1" x14ac:dyDescent="0.2"/>
    <row r="912" ht="14.25" customHeight="1" x14ac:dyDescent="0.2"/>
    <row r="913" ht="14.25" customHeight="1" x14ac:dyDescent="0.2"/>
    <row r="914" ht="14.25" customHeight="1" x14ac:dyDescent="0.2"/>
    <row r="915" ht="14.25" customHeight="1" x14ac:dyDescent="0.2"/>
    <row r="916" ht="14.25" customHeight="1" x14ac:dyDescent="0.2"/>
    <row r="917" ht="14.25" customHeight="1" x14ac:dyDescent="0.2"/>
    <row r="918" ht="14.25" customHeight="1" x14ac:dyDescent="0.2"/>
    <row r="919" ht="14.25" customHeight="1" x14ac:dyDescent="0.2"/>
    <row r="920" ht="14.25" customHeight="1" x14ac:dyDescent="0.2"/>
    <row r="921" ht="14.25" customHeight="1" x14ac:dyDescent="0.2"/>
    <row r="922" ht="14.25" customHeight="1" x14ac:dyDescent="0.2"/>
    <row r="923" ht="14.25" customHeight="1" x14ac:dyDescent="0.2"/>
    <row r="924" ht="14.25" customHeight="1" x14ac:dyDescent="0.2"/>
    <row r="925" ht="14.25" customHeight="1" x14ac:dyDescent="0.2"/>
    <row r="926" ht="14.25" customHeight="1" x14ac:dyDescent="0.2"/>
    <row r="927" ht="14.25" customHeight="1" x14ac:dyDescent="0.2"/>
    <row r="928" ht="14.25" customHeight="1" x14ac:dyDescent="0.2"/>
    <row r="929" ht="14.25" customHeight="1" x14ac:dyDescent="0.2"/>
    <row r="930" ht="14.25" customHeight="1" x14ac:dyDescent="0.2"/>
    <row r="931" ht="14.25" customHeight="1" x14ac:dyDescent="0.2"/>
    <row r="932" ht="14.25" customHeight="1" x14ac:dyDescent="0.2"/>
    <row r="933" ht="14.25" customHeight="1" x14ac:dyDescent="0.2"/>
    <row r="934" ht="14.25" customHeight="1" x14ac:dyDescent="0.2"/>
    <row r="935" ht="14.25" customHeight="1" x14ac:dyDescent="0.2"/>
    <row r="936" ht="14.25" customHeight="1" x14ac:dyDescent="0.2"/>
    <row r="937" ht="14.25" customHeight="1" x14ac:dyDescent="0.2"/>
    <row r="938" ht="14.25" customHeight="1" x14ac:dyDescent="0.2"/>
    <row r="939" ht="14.25" customHeight="1" x14ac:dyDescent="0.2"/>
    <row r="940" ht="14.25" customHeight="1" x14ac:dyDescent="0.2"/>
    <row r="941" ht="14.25" customHeight="1" x14ac:dyDescent="0.2"/>
    <row r="942" ht="14.25" customHeight="1" x14ac:dyDescent="0.2"/>
    <row r="943" ht="14.25" customHeight="1" x14ac:dyDescent="0.2"/>
    <row r="944" ht="14.25" customHeight="1" x14ac:dyDescent="0.2"/>
    <row r="945" ht="14.25" customHeight="1" x14ac:dyDescent="0.2"/>
    <row r="946" ht="14.25" customHeight="1" x14ac:dyDescent="0.2"/>
    <row r="947" ht="14.25" customHeight="1" x14ac:dyDescent="0.2"/>
    <row r="948" ht="14.25" customHeight="1" x14ac:dyDescent="0.2"/>
    <row r="949" ht="14.25" customHeight="1" x14ac:dyDescent="0.2"/>
    <row r="950" ht="14.25" customHeight="1" x14ac:dyDescent="0.2"/>
    <row r="951" ht="14.25" customHeight="1" x14ac:dyDescent="0.2"/>
    <row r="952" ht="14.25" customHeight="1" x14ac:dyDescent="0.2"/>
    <row r="953" ht="14.25" customHeight="1" x14ac:dyDescent="0.2"/>
    <row r="954" ht="14.25" customHeight="1" x14ac:dyDescent="0.2"/>
    <row r="955" ht="14.25" customHeight="1" x14ac:dyDescent="0.2"/>
    <row r="956" ht="14.25" customHeight="1" x14ac:dyDescent="0.2"/>
    <row r="957" ht="14.25" customHeight="1" x14ac:dyDescent="0.2"/>
    <row r="958" ht="14.25" customHeight="1" x14ac:dyDescent="0.2"/>
    <row r="959" ht="14.25" customHeight="1" x14ac:dyDescent="0.2"/>
    <row r="960" ht="14.25" customHeight="1" x14ac:dyDescent="0.2"/>
    <row r="961" ht="14.25" customHeight="1" x14ac:dyDescent="0.2"/>
    <row r="962" ht="14.25" customHeight="1" x14ac:dyDescent="0.2"/>
    <row r="963" ht="14.25" customHeight="1" x14ac:dyDescent="0.2"/>
    <row r="964" ht="14.25" customHeight="1" x14ac:dyDescent="0.2"/>
    <row r="965" ht="14.25" customHeight="1" x14ac:dyDescent="0.2"/>
    <row r="966" ht="14.25" customHeight="1" x14ac:dyDescent="0.2"/>
    <row r="967" ht="14.25" customHeight="1" x14ac:dyDescent="0.2"/>
    <row r="968" ht="14.25" customHeight="1" x14ac:dyDescent="0.2"/>
    <row r="969" ht="14.25" customHeight="1" x14ac:dyDescent="0.2"/>
    <row r="970" ht="14.25" customHeight="1" x14ac:dyDescent="0.2"/>
    <row r="971" ht="14.25" customHeight="1" x14ac:dyDescent="0.2"/>
    <row r="972" ht="14.25" customHeight="1" x14ac:dyDescent="0.2"/>
    <row r="973" ht="14.25" customHeight="1" x14ac:dyDescent="0.2"/>
    <row r="974" ht="14.25" customHeight="1" x14ac:dyDescent="0.2"/>
    <row r="975" ht="14.25" customHeight="1" x14ac:dyDescent="0.2"/>
    <row r="976" ht="14.25" customHeight="1" x14ac:dyDescent="0.2"/>
    <row r="977" ht="14.25" customHeight="1" x14ac:dyDescent="0.2"/>
    <row r="978" ht="14.25" customHeight="1" x14ac:dyDescent="0.2"/>
    <row r="979" ht="14.25" customHeight="1" x14ac:dyDescent="0.2"/>
    <row r="980" ht="14.25" customHeight="1" x14ac:dyDescent="0.2"/>
    <row r="981" ht="14.25" customHeight="1" x14ac:dyDescent="0.2"/>
    <row r="982" ht="14.25" customHeight="1" x14ac:dyDescent="0.2"/>
    <row r="983" ht="14.25" customHeight="1" x14ac:dyDescent="0.2"/>
    <row r="984" ht="14.25" customHeight="1" x14ac:dyDescent="0.2"/>
    <row r="985" ht="14.25" customHeight="1" x14ac:dyDescent="0.2"/>
    <row r="986" ht="14.25" customHeight="1" x14ac:dyDescent="0.2"/>
    <row r="987" ht="14.25" customHeight="1" x14ac:dyDescent="0.2"/>
    <row r="988" ht="14.25" customHeight="1" x14ac:dyDescent="0.2"/>
    <row r="989" ht="14.25" customHeight="1" x14ac:dyDescent="0.2"/>
    <row r="990" ht="14.25" customHeight="1" x14ac:dyDescent="0.2"/>
    <row r="991" ht="14.25" customHeight="1" x14ac:dyDescent="0.2"/>
    <row r="992" ht="14.25" customHeight="1" x14ac:dyDescent="0.2"/>
    <row r="993" ht="14.25" customHeight="1" x14ac:dyDescent="0.2"/>
    <row r="994" ht="14.25" customHeight="1" x14ac:dyDescent="0.2"/>
    <row r="995" ht="14.25" customHeight="1" x14ac:dyDescent="0.2"/>
    <row r="996" ht="14.25" customHeight="1" x14ac:dyDescent="0.2"/>
    <row r="997" ht="14.25" customHeight="1" x14ac:dyDescent="0.2"/>
    <row r="998" ht="14.25" customHeight="1" x14ac:dyDescent="0.2"/>
    <row r="999" ht="14.25" customHeight="1" x14ac:dyDescent="0.2"/>
    <row r="1000" ht="14.25" customHeight="1" x14ac:dyDescent="0.2"/>
    <row r="1001" ht="14.25" customHeight="1" x14ac:dyDescent="0.2"/>
    <row r="1002" ht="14.25" customHeight="1" x14ac:dyDescent="0.2"/>
    <row r="1003" ht="14.25" customHeight="1" x14ac:dyDescent="0.2"/>
    <row r="1004" ht="14.25" customHeight="1" x14ac:dyDescent="0.2"/>
    <row r="1005" ht="14.25" customHeight="1" x14ac:dyDescent="0.2"/>
    <row r="1006" ht="14.25" customHeight="1" x14ac:dyDescent="0.2"/>
    <row r="1007" ht="14.25" customHeight="1" x14ac:dyDescent="0.2"/>
    <row r="1008" ht="14.25" customHeight="1" x14ac:dyDescent="0.2"/>
    <row r="1009" ht="14.25" customHeight="1" x14ac:dyDescent="0.2"/>
    <row r="1010" ht="14.25" customHeight="1" x14ac:dyDescent="0.2"/>
    <row r="1011" ht="14.25" customHeight="1" x14ac:dyDescent="0.2"/>
    <row r="1012" ht="14.25" customHeight="1" x14ac:dyDescent="0.2"/>
    <row r="1013" ht="14.25" customHeight="1" x14ac:dyDescent="0.2"/>
    <row r="1014" ht="14.25" customHeight="1" x14ac:dyDescent="0.2"/>
    <row r="1015" ht="14.25" customHeight="1" x14ac:dyDescent="0.2"/>
    <row r="1016" ht="14.25" customHeight="1" x14ac:dyDescent="0.2"/>
    <row r="1017" ht="14.25" customHeight="1" x14ac:dyDescent="0.2"/>
    <row r="1018" ht="14.25" customHeight="1" x14ac:dyDescent="0.2"/>
    <row r="1019" ht="14.25" customHeight="1" x14ac:dyDescent="0.2"/>
    <row r="1020" ht="14.25" customHeight="1" x14ac:dyDescent="0.2"/>
  </sheetData>
  <mergeCells count="4">
    <mergeCell ref="A1:F1"/>
    <mergeCell ref="A2:F2"/>
    <mergeCell ref="A4:F4"/>
    <mergeCell ref="B696:C696"/>
  </mergeCells>
  <phoneticPr fontId="9" type="noConversion"/>
  <conditionalFormatting sqref="B134:B692">
    <cfRule type="timePeriod" dxfId="5" priority="3" timePeriod="today">
      <formula>FLOOR(B134,1)=TODAY()</formula>
    </cfRule>
    <cfRule type="notContainsBlanks" dxfId="4" priority="4">
      <formula>LEN(TRIM(B134))&gt;0</formula>
    </cfRule>
  </conditionalFormatting>
  <conditionalFormatting sqref="H295">
    <cfRule type="timePeriod" dxfId="3" priority="13" timePeriod="today">
      <formula>FLOOR(H295,1)=TODAY()</formula>
    </cfRule>
    <cfRule type="notContainsBlanks" dxfId="2" priority="14">
      <formula>LEN(TRIM(H295))&gt;0</formula>
    </cfRule>
  </conditionalFormatting>
  <pageMargins left="0.7" right="0.7" top="0.75" bottom="0.75" header="0" footer="0"/>
  <pageSetup paperSize="14" scale="57" fitToHeight="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000"/>
  <sheetViews>
    <sheetView topLeftCell="A309" workbookViewId="0">
      <selection activeCell="D345" sqref="D345"/>
    </sheetView>
  </sheetViews>
  <sheetFormatPr baseColWidth="10" defaultColWidth="14.5" defaultRowHeight="15" customHeight="1" x14ac:dyDescent="0.2"/>
  <cols>
    <col min="1" max="1" width="19.5" customWidth="1"/>
    <col min="2" max="2" width="5.33203125" customWidth="1"/>
    <col min="3" max="3" width="16" customWidth="1"/>
    <col min="4" max="4" width="16.5" customWidth="1"/>
    <col min="5" max="5" width="12" customWidth="1"/>
    <col min="6" max="26" width="8" customWidth="1"/>
  </cols>
  <sheetData>
    <row r="1" spans="1:3" ht="14.25" customHeight="1" x14ac:dyDescent="0.2">
      <c r="A1" s="86" t="s">
        <v>460</v>
      </c>
      <c r="B1" s="86"/>
      <c r="C1" s="86"/>
    </row>
    <row r="2" spans="1:3" ht="14.25" customHeight="1" x14ac:dyDescent="0.2">
      <c r="A2">
        <v>50000</v>
      </c>
      <c r="B2">
        <v>4</v>
      </c>
      <c r="C2">
        <f t="shared" ref="C2:C7" si="0">A2*B2</f>
        <v>200000</v>
      </c>
    </row>
    <row r="3" spans="1:3" ht="14.25" customHeight="1" x14ac:dyDescent="0.2">
      <c r="A3">
        <v>20000</v>
      </c>
      <c r="B3">
        <v>3</v>
      </c>
      <c r="C3">
        <f t="shared" si="0"/>
        <v>60000</v>
      </c>
    </row>
    <row r="4" spans="1:3" ht="14.25" customHeight="1" x14ac:dyDescent="0.2">
      <c r="A4">
        <v>10000</v>
      </c>
      <c r="B4">
        <v>40</v>
      </c>
      <c r="C4">
        <f t="shared" si="0"/>
        <v>400000</v>
      </c>
    </row>
    <row r="5" spans="1:3" ht="14.25" customHeight="1" x14ac:dyDescent="0.2">
      <c r="A5">
        <v>5000</v>
      </c>
      <c r="B5">
        <v>97</v>
      </c>
      <c r="C5">
        <f t="shared" si="0"/>
        <v>485000</v>
      </c>
    </row>
    <row r="6" spans="1:3" ht="14.25" customHeight="1" x14ac:dyDescent="0.2">
      <c r="A6">
        <v>2000</v>
      </c>
      <c r="B6">
        <v>57</v>
      </c>
      <c r="C6">
        <f t="shared" si="0"/>
        <v>114000</v>
      </c>
    </row>
    <row r="7" spans="1:3" ht="14.25" customHeight="1" x14ac:dyDescent="0.2">
      <c r="A7">
        <v>1000</v>
      </c>
      <c r="B7">
        <v>0</v>
      </c>
      <c r="C7">
        <f t="shared" si="0"/>
        <v>0</v>
      </c>
    </row>
    <row r="8" spans="1:3" ht="14.25" customHeight="1" x14ac:dyDescent="0.2">
      <c r="C8">
        <f>SUM(C2:C7)</f>
        <v>1259000</v>
      </c>
    </row>
    <row r="9" spans="1:3" ht="14.25" customHeight="1" x14ac:dyDescent="0.2"/>
    <row r="10" spans="1:3" ht="14.25" customHeight="1" x14ac:dyDescent="0.2">
      <c r="A10">
        <v>100000</v>
      </c>
      <c r="B10">
        <v>2</v>
      </c>
      <c r="C10">
        <f>A10*B10</f>
        <v>200000</v>
      </c>
    </row>
    <row r="11" spans="1:3" ht="14.25" customHeight="1" x14ac:dyDescent="0.2">
      <c r="A11">
        <v>50000</v>
      </c>
      <c r="B11">
        <v>3</v>
      </c>
      <c r="C11">
        <f t="shared" ref="C11:C16" si="1">A11*B11</f>
        <v>150000</v>
      </c>
    </row>
    <row r="12" spans="1:3" ht="14.25" customHeight="1" x14ac:dyDescent="0.2">
      <c r="A12">
        <v>20000</v>
      </c>
      <c r="B12">
        <v>8</v>
      </c>
      <c r="C12">
        <f t="shared" si="1"/>
        <v>160000</v>
      </c>
    </row>
    <row r="13" spans="1:3" ht="14.25" customHeight="1" x14ac:dyDescent="0.2">
      <c r="A13">
        <v>10000</v>
      </c>
      <c r="B13">
        <v>48</v>
      </c>
      <c r="C13">
        <f t="shared" si="1"/>
        <v>480000</v>
      </c>
    </row>
    <row r="14" spans="1:3" ht="14.25" customHeight="1" x14ac:dyDescent="0.2">
      <c r="A14">
        <v>5000</v>
      </c>
      <c r="B14">
        <v>90</v>
      </c>
      <c r="C14">
        <f t="shared" si="1"/>
        <v>450000</v>
      </c>
    </row>
    <row r="15" spans="1:3" ht="14.25" customHeight="1" x14ac:dyDescent="0.2">
      <c r="A15">
        <v>2000</v>
      </c>
      <c r="B15">
        <v>73</v>
      </c>
      <c r="C15">
        <f t="shared" si="1"/>
        <v>146000</v>
      </c>
    </row>
    <row r="16" spans="1:3" ht="14.25" customHeight="1" x14ac:dyDescent="0.2">
      <c r="A16">
        <v>1000</v>
      </c>
      <c r="B16">
        <v>6</v>
      </c>
      <c r="C16">
        <f t="shared" si="1"/>
        <v>6000</v>
      </c>
    </row>
    <row r="17" spans="1:3" ht="14.25" customHeight="1" x14ac:dyDescent="0.2">
      <c r="C17">
        <f>SUM(C10:C16)</f>
        <v>1592000</v>
      </c>
    </row>
    <row r="18" spans="1:3" ht="14.25" customHeight="1" x14ac:dyDescent="0.2">
      <c r="A18" s="86" t="s">
        <v>486</v>
      </c>
      <c r="B18" s="86"/>
      <c r="C18" s="86"/>
    </row>
    <row r="19" spans="1:3" ht="14.25" customHeight="1" x14ac:dyDescent="0.2">
      <c r="A19" s="48">
        <v>50000</v>
      </c>
      <c r="B19">
        <v>10</v>
      </c>
      <c r="C19" s="49">
        <f>A19*B19</f>
        <v>500000</v>
      </c>
    </row>
    <row r="20" spans="1:3" ht="14.25" customHeight="1" x14ac:dyDescent="0.2">
      <c r="A20" s="48">
        <v>10000</v>
      </c>
      <c r="B20">
        <v>20</v>
      </c>
      <c r="C20" s="49">
        <f>A20*B20</f>
        <v>200000</v>
      </c>
    </row>
    <row r="21" spans="1:3" ht="14.25" customHeight="1" x14ac:dyDescent="0.2">
      <c r="A21" s="48">
        <v>5000</v>
      </c>
      <c r="B21">
        <v>80</v>
      </c>
      <c r="C21" s="49">
        <f>A21*B21</f>
        <v>400000</v>
      </c>
    </row>
    <row r="22" spans="1:3" ht="14.25" customHeight="1" x14ac:dyDescent="0.2">
      <c r="C22" s="49">
        <f>SUM(C19:C21)</f>
        <v>1100000</v>
      </c>
    </row>
    <row r="23" spans="1:3" ht="14.25" customHeight="1" x14ac:dyDescent="0.2">
      <c r="A23" s="86" t="s">
        <v>498</v>
      </c>
      <c r="B23" s="86"/>
      <c r="C23" s="86"/>
    </row>
    <row r="24" spans="1:3" ht="14.25" customHeight="1" x14ac:dyDescent="0.2">
      <c r="A24" s="48">
        <v>100000</v>
      </c>
      <c r="B24">
        <v>4</v>
      </c>
      <c r="C24" s="49">
        <f t="shared" ref="C24:C30" si="2">A24*B24</f>
        <v>400000</v>
      </c>
    </row>
    <row r="25" spans="1:3" ht="14.25" customHeight="1" x14ac:dyDescent="0.2">
      <c r="A25" s="48">
        <v>50000</v>
      </c>
      <c r="B25">
        <v>10</v>
      </c>
      <c r="C25" s="49">
        <f t="shared" si="2"/>
        <v>500000</v>
      </c>
    </row>
    <row r="26" spans="1:3" ht="14.25" customHeight="1" x14ac:dyDescent="0.2">
      <c r="A26" s="48">
        <v>20000</v>
      </c>
      <c r="B26">
        <v>20</v>
      </c>
      <c r="C26" s="49">
        <f t="shared" si="2"/>
        <v>400000</v>
      </c>
    </row>
    <row r="27" spans="1:3" ht="14.25" customHeight="1" x14ac:dyDescent="0.2">
      <c r="A27" s="48">
        <v>10000</v>
      </c>
      <c r="B27">
        <v>80</v>
      </c>
      <c r="C27" s="49">
        <f t="shared" si="2"/>
        <v>800000</v>
      </c>
    </row>
    <row r="28" spans="1:3" ht="14.25" customHeight="1" x14ac:dyDescent="0.2">
      <c r="A28" s="48">
        <v>5000</v>
      </c>
      <c r="B28">
        <v>110</v>
      </c>
      <c r="C28" s="49">
        <f t="shared" si="2"/>
        <v>550000</v>
      </c>
    </row>
    <row r="29" spans="1:3" ht="14.25" customHeight="1" x14ac:dyDescent="0.2">
      <c r="A29" s="48">
        <v>2000</v>
      </c>
      <c r="B29">
        <v>90</v>
      </c>
      <c r="C29" s="49">
        <f t="shared" si="2"/>
        <v>180000</v>
      </c>
    </row>
    <row r="30" spans="1:3" ht="14.25" customHeight="1" x14ac:dyDescent="0.2">
      <c r="A30" s="48">
        <v>1000</v>
      </c>
      <c r="B30">
        <v>10</v>
      </c>
      <c r="C30" s="49">
        <f t="shared" si="2"/>
        <v>10000</v>
      </c>
    </row>
    <row r="31" spans="1:3" ht="14.25" customHeight="1" x14ac:dyDescent="0.2">
      <c r="C31" s="55">
        <f>SUM(C24:C30)</f>
        <v>2840000</v>
      </c>
    </row>
    <row r="32" spans="1:3" ht="14.25" customHeight="1" x14ac:dyDescent="0.2"/>
    <row r="33" spans="1:3" ht="14.25" customHeight="1" x14ac:dyDescent="0.2">
      <c r="A33" s="86" t="s">
        <v>499</v>
      </c>
      <c r="B33" s="86"/>
      <c r="C33" s="86"/>
    </row>
    <row r="34" spans="1:3" ht="14.25" customHeight="1" x14ac:dyDescent="0.2">
      <c r="A34" s="48">
        <v>100000</v>
      </c>
      <c r="B34">
        <v>1</v>
      </c>
      <c r="C34" s="49">
        <f t="shared" ref="C34:C40" si="3">A34*B34</f>
        <v>100000</v>
      </c>
    </row>
    <row r="35" spans="1:3" ht="14.25" customHeight="1" x14ac:dyDescent="0.2">
      <c r="A35" s="48">
        <v>50000</v>
      </c>
      <c r="B35">
        <v>12</v>
      </c>
      <c r="C35" s="49">
        <f t="shared" si="3"/>
        <v>600000</v>
      </c>
    </row>
    <row r="36" spans="1:3" ht="14.25" customHeight="1" x14ac:dyDescent="0.2">
      <c r="A36" s="48">
        <v>20000</v>
      </c>
      <c r="B36">
        <v>11</v>
      </c>
      <c r="C36" s="49">
        <f t="shared" si="3"/>
        <v>220000</v>
      </c>
    </row>
    <row r="37" spans="1:3" ht="14.25" customHeight="1" x14ac:dyDescent="0.2">
      <c r="A37" s="48">
        <v>10000</v>
      </c>
      <c r="B37">
        <v>91</v>
      </c>
      <c r="C37" s="49">
        <f t="shared" si="3"/>
        <v>910000</v>
      </c>
    </row>
    <row r="38" spans="1:3" ht="14.25" customHeight="1" x14ac:dyDescent="0.2">
      <c r="A38" s="48">
        <v>5000</v>
      </c>
      <c r="B38">
        <v>149</v>
      </c>
      <c r="C38" s="49">
        <f t="shared" si="3"/>
        <v>745000</v>
      </c>
    </row>
    <row r="39" spans="1:3" ht="14.25" customHeight="1" x14ac:dyDescent="0.2">
      <c r="A39" s="48">
        <v>2000</v>
      </c>
      <c r="B39">
        <v>82</v>
      </c>
      <c r="C39" s="49">
        <f t="shared" si="3"/>
        <v>164000</v>
      </c>
    </row>
    <row r="40" spans="1:3" ht="14.25" customHeight="1" x14ac:dyDescent="0.2">
      <c r="A40" s="48">
        <v>1000</v>
      </c>
      <c r="B40">
        <v>9</v>
      </c>
      <c r="C40" s="49">
        <f t="shared" si="3"/>
        <v>9000</v>
      </c>
    </row>
    <row r="41" spans="1:3" ht="14.25" customHeight="1" x14ac:dyDescent="0.2">
      <c r="C41" s="55">
        <f>SUM(C34:C40)</f>
        <v>2748000</v>
      </c>
    </row>
    <row r="42" spans="1:3" ht="14.25" customHeight="1" x14ac:dyDescent="0.2">
      <c r="A42" s="86" t="s">
        <v>504</v>
      </c>
      <c r="B42" s="86"/>
      <c r="C42" s="86"/>
    </row>
    <row r="43" spans="1:3" ht="14.25" customHeight="1" x14ac:dyDescent="0.2">
      <c r="A43" s="48">
        <v>100000</v>
      </c>
      <c r="B43">
        <v>2</v>
      </c>
      <c r="C43" s="49">
        <f t="shared" ref="C43:C49" si="4">A43*B43</f>
        <v>200000</v>
      </c>
    </row>
    <row r="44" spans="1:3" ht="14.25" customHeight="1" x14ac:dyDescent="0.2">
      <c r="A44" s="48">
        <v>50000</v>
      </c>
      <c r="B44">
        <v>6</v>
      </c>
      <c r="C44" s="49">
        <f t="shared" si="4"/>
        <v>300000</v>
      </c>
    </row>
    <row r="45" spans="1:3" ht="14.25" customHeight="1" x14ac:dyDescent="0.2">
      <c r="A45" s="48">
        <v>20000</v>
      </c>
      <c r="B45">
        <v>7</v>
      </c>
      <c r="C45" s="49">
        <f t="shared" si="4"/>
        <v>140000</v>
      </c>
    </row>
    <row r="46" spans="1:3" ht="14.25" customHeight="1" x14ac:dyDescent="0.2">
      <c r="A46" s="48">
        <v>10000</v>
      </c>
      <c r="B46">
        <v>36</v>
      </c>
      <c r="C46" s="49">
        <f t="shared" si="4"/>
        <v>360000</v>
      </c>
    </row>
    <row r="47" spans="1:3" ht="14.25" customHeight="1" x14ac:dyDescent="0.2">
      <c r="A47" s="48">
        <v>5000</v>
      </c>
      <c r="B47">
        <v>58</v>
      </c>
      <c r="C47" s="49">
        <f t="shared" si="4"/>
        <v>290000</v>
      </c>
    </row>
    <row r="48" spans="1:3" ht="14.25" customHeight="1" x14ac:dyDescent="0.2">
      <c r="A48" s="48">
        <v>2000</v>
      </c>
      <c r="B48">
        <v>64</v>
      </c>
      <c r="C48" s="49">
        <f t="shared" si="4"/>
        <v>128000</v>
      </c>
    </row>
    <row r="49" spans="1:3" ht="14.25" customHeight="1" x14ac:dyDescent="0.2">
      <c r="A49" s="48">
        <v>1000</v>
      </c>
      <c r="B49">
        <v>8</v>
      </c>
      <c r="C49" s="49">
        <f t="shared" si="4"/>
        <v>8000</v>
      </c>
    </row>
    <row r="50" spans="1:3" ht="14.25" customHeight="1" x14ac:dyDescent="0.2">
      <c r="C50" s="55">
        <f>SUM(C43:C49)</f>
        <v>1426000</v>
      </c>
    </row>
    <row r="51" spans="1:3" ht="14.25" customHeight="1" x14ac:dyDescent="0.2"/>
    <row r="52" spans="1:3" ht="14.25" customHeight="1" x14ac:dyDescent="0.2">
      <c r="A52" s="86" t="s">
        <v>507</v>
      </c>
      <c r="B52" s="86"/>
      <c r="C52" s="86"/>
    </row>
    <row r="53" spans="1:3" ht="14.25" customHeight="1" x14ac:dyDescent="0.2">
      <c r="A53" s="48">
        <v>100000</v>
      </c>
      <c r="B53">
        <v>12</v>
      </c>
      <c r="C53" s="49">
        <f t="shared" ref="C53:C59" si="5">A53*B53</f>
        <v>1200000</v>
      </c>
    </row>
    <row r="54" spans="1:3" ht="14.25" customHeight="1" x14ac:dyDescent="0.2">
      <c r="A54" s="48">
        <v>50000</v>
      </c>
      <c r="B54">
        <v>20</v>
      </c>
      <c r="C54" s="49">
        <f t="shared" si="5"/>
        <v>1000000</v>
      </c>
    </row>
    <row r="55" spans="1:3" ht="14.25" customHeight="1" x14ac:dyDescent="0.2">
      <c r="A55" s="48">
        <v>20000</v>
      </c>
      <c r="B55">
        <v>20</v>
      </c>
      <c r="C55" s="49">
        <f t="shared" si="5"/>
        <v>400000</v>
      </c>
    </row>
    <row r="56" spans="1:3" ht="14.25" customHeight="1" x14ac:dyDescent="0.2">
      <c r="A56" s="48">
        <v>10000</v>
      </c>
      <c r="B56">
        <v>80</v>
      </c>
      <c r="C56" s="49">
        <f t="shared" si="5"/>
        <v>800000</v>
      </c>
    </row>
    <row r="57" spans="1:3" ht="14.25" customHeight="1" x14ac:dyDescent="0.2">
      <c r="A57" s="48">
        <v>5000</v>
      </c>
      <c r="B57">
        <v>120</v>
      </c>
      <c r="C57" s="49">
        <f t="shared" si="5"/>
        <v>600000</v>
      </c>
    </row>
    <row r="58" spans="1:3" ht="14.25" customHeight="1" x14ac:dyDescent="0.2">
      <c r="A58" s="48">
        <v>2000</v>
      </c>
      <c r="B58">
        <v>10</v>
      </c>
      <c r="C58" s="49">
        <f t="shared" si="5"/>
        <v>20000</v>
      </c>
    </row>
    <row r="59" spans="1:3" ht="14.25" customHeight="1" x14ac:dyDescent="0.2">
      <c r="A59" s="48">
        <v>1000</v>
      </c>
      <c r="B59">
        <v>0</v>
      </c>
      <c r="C59" s="49">
        <f t="shared" si="5"/>
        <v>0</v>
      </c>
    </row>
    <row r="60" spans="1:3" ht="14.25" customHeight="1" x14ac:dyDescent="0.2">
      <c r="C60" s="55">
        <f>SUM(C53:C59)</f>
        <v>4020000</v>
      </c>
    </row>
    <row r="61" spans="1:3" ht="14.25" customHeight="1" x14ac:dyDescent="0.2"/>
    <row r="62" spans="1:3" ht="14.25" customHeight="1" x14ac:dyDescent="0.2">
      <c r="A62" s="86" t="s">
        <v>513</v>
      </c>
      <c r="B62" s="86"/>
      <c r="C62" s="86"/>
    </row>
    <row r="63" spans="1:3" ht="14.25" customHeight="1" x14ac:dyDescent="0.2">
      <c r="A63" s="48">
        <v>100000</v>
      </c>
      <c r="B63">
        <v>2</v>
      </c>
      <c r="C63" s="49">
        <f t="shared" ref="C63:C69" si="6">A63*B63</f>
        <v>200000</v>
      </c>
    </row>
    <row r="64" spans="1:3" ht="14.25" customHeight="1" x14ac:dyDescent="0.2">
      <c r="A64" s="48">
        <v>50000</v>
      </c>
      <c r="B64">
        <v>3</v>
      </c>
      <c r="C64" s="49">
        <f t="shared" si="6"/>
        <v>150000</v>
      </c>
    </row>
    <row r="65" spans="1:3" ht="14.25" customHeight="1" x14ac:dyDescent="0.2">
      <c r="A65" s="48">
        <v>20000</v>
      </c>
      <c r="B65">
        <v>9</v>
      </c>
      <c r="C65" s="49">
        <f t="shared" si="6"/>
        <v>180000</v>
      </c>
    </row>
    <row r="66" spans="1:3" ht="14.25" customHeight="1" x14ac:dyDescent="0.2">
      <c r="A66" s="48">
        <v>10000</v>
      </c>
      <c r="B66">
        <v>31</v>
      </c>
      <c r="C66" s="49">
        <f t="shared" si="6"/>
        <v>310000</v>
      </c>
    </row>
    <row r="67" spans="1:3" ht="14.25" customHeight="1" x14ac:dyDescent="0.2">
      <c r="A67" s="48">
        <v>5000</v>
      </c>
      <c r="B67">
        <v>100</v>
      </c>
      <c r="C67" s="49">
        <f t="shared" si="6"/>
        <v>500000</v>
      </c>
    </row>
    <row r="68" spans="1:3" ht="14.25" customHeight="1" x14ac:dyDescent="0.2">
      <c r="A68" s="48">
        <v>2000</v>
      </c>
      <c r="B68">
        <v>61</v>
      </c>
      <c r="C68" s="49">
        <f t="shared" si="6"/>
        <v>122000</v>
      </c>
    </row>
    <row r="69" spans="1:3" ht="14.25" customHeight="1" x14ac:dyDescent="0.2">
      <c r="A69" s="48">
        <v>1000</v>
      </c>
      <c r="B69">
        <v>0</v>
      </c>
      <c r="C69" s="49">
        <f t="shared" si="6"/>
        <v>0</v>
      </c>
    </row>
    <row r="70" spans="1:3" ht="14.25" customHeight="1" x14ac:dyDescent="0.2">
      <c r="C70" s="55">
        <f>SUM(C63:C69)</f>
        <v>1462000</v>
      </c>
    </row>
    <row r="71" spans="1:3" ht="14.25" customHeight="1" x14ac:dyDescent="0.2"/>
    <row r="72" spans="1:3" ht="14.25" customHeight="1" x14ac:dyDescent="0.2"/>
    <row r="73" spans="1:3" ht="14.25" customHeight="1" x14ac:dyDescent="0.2">
      <c r="A73" s="86" t="s">
        <v>526</v>
      </c>
      <c r="B73" s="86"/>
      <c r="C73" s="86"/>
    </row>
    <row r="74" spans="1:3" ht="14.25" customHeight="1" x14ac:dyDescent="0.2">
      <c r="A74" s="48">
        <v>100000</v>
      </c>
      <c r="B74">
        <v>14</v>
      </c>
      <c r="C74" s="49">
        <f t="shared" ref="C74:C80" si="7">A74*B74</f>
        <v>1400000</v>
      </c>
    </row>
    <row r="75" spans="1:3" ht="14.25" customHeight="1" x14ac:dyDescent="0.2">
      <c r="A75" s="48">
        <v>50000</v>
      </c>
      <c r="B75">
        <v>27</v>
      </c>
      <c r="C75" s="49">
        <f t="shared" si="7"/>
        <v>1350000</v>
      </c>
    </row>
    <row r="76" spans="1:3" ht="14.25" customHeight="1" x14ac:dyDescent="0.2">
      <c r="A76" s="48">
        <v>20000</v>
      </c>
      <c r="B76">
        <v>40</v>
      </c>
      <c r="C76" s="49">
        <f t="shared" si="7"/>
        <v>800000</v>
      </c>
    </row>
    <row r="77" spans="1:3" ht="14.25" customHeight="1" x14ac:dyDescent="0.2">
      <c r="A77" s="48">
        <v>10000</v>
      </c>
      <c r="B77">
        <v>200</v>
      </c>
      <c r="C77" s="49">
        <f t="shared" si="7"/>
        <v>2000000</v>
      </c>
    </row>
    <row r="78" spans="1:3" ht="14.25" customHeight="1" x14ac:dyDescent="0.2">
      <c r="A78" s="48">
        <v>5000</v>
      </c>
      <c r="B78">
        <v>360</v>
      </c>
      <c r="C78" s="49">
        <f t="shared" si="7"/>
        <v>1800000</v>
      </c>
    </row>
    <row r="79" spans="1:3" ht="14.25" customHeight="1" x14ac:dyDescent="0.2">
      <c r="A79" s="48">
        <v>2000</v>
      </c>
      <c r="B79">
        <v>260</v>
      </c>
      <c r="C79" s="49">
        <f t="shared" si="7"/>
        <v>520000</v>
      </c>
    </row>
    <row r="80" spans="1:3" ht="14.25" customHeight="1" x14ac:dyDescent="0.2">
      <c r="A80" s="48">
        <v>1000</v>
      </c>
      <c r="B80">
        <v>40</v>
      </c>
      <c r="C80" s="49">
        <f t="shared" si="7"/>
        <v>40000</v>
      </c>
    </row>
    <row r="81" spans="1:3" ht="14.25" customHeight="1" x14ac:dyDescent="0.2">
      <c r="A81" s="48">
        <v>500</v>
      </c>
      <c r="B81">
        <v>10</v>
      </c>
      <c r="C81" s="56">
        <f>A81*B81</f>
        <v>5000</v>
      </c>
    </row>
    <row r="82" spans="1:3" ht="14.25" customHeight="1" x14ac:dyDescent="0.2">
      <c r="C82" s="55">
        <f>SUM(C74:C81)</f>
        <v>7915000</v>
      </c>
    </row>
    <row r="83" spans="1:3" ht="14.25" customHeight="1" x14ac:dyDescent="0.2"/>
    <row r="84" spans="1:3" ht="14.25" customHeight="1" x14ac:dyDescent="0.2"/>
    <row r="85" spans="1:3" ht="14.25" customHeight="1" x14ac:dyDescent="0.2">
      <c r="A85" s="86" t="s">
        <v>535</v>
      </c>
      <c r="B85" s="86"/>
      <c r="C85" s="86"/>
    </row>
    <row r="86" spans="1:3" ht="14.25" customHeight="1" x14ac:dyDescent="0.2">
      <c r="A86" s="48">
        <v>100000</v>
      </c>
      <c r="B86">
        <v>4</v>
      </c>
      <c r="C86" s="49">
        <f t="shared" ref="C86:C91" si="8">A86*B86</f>
        <v>400000</v>
      </c>
    </row>
    <row r="87" spans="1:3" ht="14.25" customHeight="1" x14ac:dyDescent="0.2">
      <c r="A87" s="48">
        <v>50000</v>
      </c>
      <c r="B87">
        <v>8</v>
      </c>
      <c r="C87" s="49">
        <f t="shared" si="8"/>
        <v>400000</v>
      </c>
    </row>
    <row r="88" spans="1:3" ht="14.25" customHeight="1" x14ac:dyDescent="0.2">
      <c r="A88" s="48">
        <v>20000</v>
      </c>
      <c r="B88">
        <v>10</v>
      </c>
      <c r="C88" s="49">
        <f t="shared" si="8"/>
        <v>200000</v>
      </c>
    </row>
    <row r="89" spans="1:3" ht="14.25" customHeight="1" x14ac:dyDescent="0.2">
      <c r="A89" s="48">
        <v>10000</v>
      </c>
      <c r="B89">
        <v>80</v>
      </c>
      <c r="C89" s="49">
        <f t="shared" si="8"/>
        <v>800000</v>
      </c>
    </row>
    <row r="90" spans="1:3" ht="14.25" customHeight="1" x14ac:dyDescent="0.2">
      <c r="A90" s="48">
        <v>5000</v>
      </c>
      <c r="B90">
        <v>170</v>
      </c>
      <c r="C90" s="49">
        <f t="shared" si="8"/>
        <v>850000</v>
      </c>
    </row>
    <row r="91" spans="1:3" ht="14.25" customHeight="1" x14ac:dyDescent="0.2">
      <c r="A91" s="48">
        <v>2000</v>
      </c>
      <c r="B91">
        <v>100</v>
      </c>
      <c r="C91" s="49">
        <f t="shared" si="8"/>
        <v>200000</v>
      </c>
    </row>
    <row r="92" spans="1:3" ht="14.25" customHeight="1" x14ac:dyDescent="0.2">
      <c r="A92" s="48"/>
      <c r="C92" s="49"/>
    </row>
    <row r="93" spans="1:3" ht="14.25" customHeight="1" x14ac:dyDescent="0.2">
      <c r="A93" s="48"/>
      <c r="C93" s="56"/>
    </row>
    <row r="94" spans="1:3" ht="14.25" customHeight="1" x14ac:dyDescent="0.2">
      <c r="C94" s="55">
        <f>SUM(C86:C93)</f>
        <v>2850000</v>
      </c>
    </row>
    <row r="95" spans="1:3" ht="14.25" customHeight="1" x14ac:dyDescent="0.2"/>
    <row r="96" spans="1:3" ht="14.25" customHeight="1" x14ac:dyDescent="0.2">
      <c r="A96" s="86" t="s">
        <v>541</v>
      </c>
      <c r="B96" s="86"/>
      <c r="C96" s="86"/>
    </row>
    <row r="97" spans="1:3" ht="14.25" customHeight="1" x14ac:dyDescent="0.2">
      <c r="A97" s="48">
        <v>100000</v>
      </c>
      <c r="B97">
        <v>2</v>
      </c>
      <c r="C97" s="49">
        <f t="shared" ref="C97:C103" si="9">A97*B97</f>
        <v>200000</v>
      </c>
    </row>
    <row r="98" spans="1:3" ht="14.25" customHeight="1" x14ac:dyDescent="0.2">
      <c r="A98" s="48">
        <v>50000</v>
      </c>
      <c r="B98">
        <v>4</v>
      </c>
      <c r="C98" s="49">
        <f t="shared" si="9"/>
        <v>200000</v>
      </c>
    </row>
    <row r="99" spans="1:3" ht="14.25" customHeight="1" x14ac:dyDescent="0.2">
      <c r="A99" s="48">
        <v>20000</v>
      </c>
      <c r="B99">
        <v>4</v>
      </c>
      <c r="C99" s="49">
        <f t="shared" si="9"/>
        <v>80000</v>
      </c>
    </row>
    <row r="100" spans="1:3" ht="14.25" customHeight="1" x14ac:dyDescent="0.2">
      <c r="A100" s="48">
        <v>10000</v>
      </c>
      <c r="B100">
        <v>16</v>
      </c>
      <c r="C100" s="49">
        <f t="shared" si="9"/>
        <v>160000</v>
      </c>
    </row>
    <row r="101" spans="1:3" ht="14.25" customHeight="1" x14ac:dyDescent="0.2">
      <c r="A101" s="48">
        <v>5000</v>
      </c>
      <c r="B101">
        <v>60</v>
      </c>
      <c r="C101" s="49">
        <f t="shared" si="9"/>
        <v>300000</v>
      </c>
    </row>
    <row r="102" spans="1:3" ht="14.25" customHeight="1" x14ac:dyDescent="0.2">
      <c r="A102" s="48">
        <v>2000</v>
      </c>
      <c r="B102">
        <v>27</v>
      </c>
      <c r="C102" s="49">
        <f t="shared" si="9"/>
        <v>54000</v>
      </c>
    </row>
    <row r="103" spans="1:3" ht="14.25" customHeight="1" x14ac:dyDescent="0.2">
      <c r="A103" s="48">
        <v>1000</v>
      </c>
      <c r="B103">
        <v>8</v>
      </c>
      <c r="C103" s="49">
        <f t="shared" si="9"/>
        <v>8000</v>
      </c>
    </row>
    <row r="104" spans="1:3" ht="14.25" customHeight="1" x14ac:dyDescent="0.2">
      <c r="A104" s="48"/>
      <c r="C104" s="56"/>
    </row>
    <row r="105" spans="1:3" ht="14.25" customHeight="1" x14ac:dyDescent="0.2">
      <c r="C105" s="55">
        <f>SUM(C97:C104)</f>
        <v>1002000</v>
      </c>
    </row>
    <row r="106" spans="1:3" ht="14.25" customHeight="1" x14ac:dyDescent="0.2"/>
    <row r="107" spans="1:3" ht="14.25" customHeight="1" x14ac:dyDescent="0.2">
      <c r="A107" s="86" t="s">
        <v>542</v>
      </c>
      <c r="B107" s="86"/>
      <c r="C107" s="86"/>
    </row>
    <row r="108" spans="1:3" ht="14.25" customHeight="1" x14ac:dyDescent="0.2">
      <c r="A108" s="48">
        <v>100000</v>
      </c>
      <c r="B108">
        <v>0</v>
      </c>
      <c r="C108" s="49">
        <f t="shared" ref="C108:C114" si="10">A108*B108</f>
        <v>0</v>
      </c>
    </row>
    <row r="109" spans="1:3" ht="14.25" customHeight="1" x14ac:dyDescent="0.2">
      <c r="A109" s="48">
        <v>50000</v>
      </c>
      <c r="B109">
        <v>6</v>
      </c>
      <c r="C109" s="49">
        <f t="shared" si="10"/>
        <v>300000</v>
      </c>
    </row>
    <row r="110" spans="1:3" ht="14.25" customHeight="1" x14ac:dyDescent="0.2">
      <c r="A110" s="48">
        <v>20000</v>
      </c>
      <c r="B110">
        <v>3</v>
      </c>
      <c r="C110" s="49">
        <f t="shared" si="10"/>
        <v>60000</v>
      </c>
    </row>
    <row r="111" spans="1:3" ht="14.25" customHeight="1" x14ac:dyDescent="0.2">
      <c r="A111" s="48">
        <v>10000</v>
      </c>
      <c r="B111">
        <v>32</v>
      </c>
      <c r="C111" s="49">
        <f t="shared" si="10"/>
        <v>320000</v>
      </c>
    </row>
    <row r="112" spans="1:3" ht="14.25" customHeight="1" x14ac:dyDescent="0.2">
      <c r="A112" s="48">
        <v>5000</v>
      </c>
      <c r="B112">
        <v>63</v>
      </c>
      <c r="C112" s="49">
        <f t="shared" si="10"/>
        <v>315000</v>
      </c>
    </row>
    <row r="113" spans="1:3" ht="14.25" customHeight="1" x14ac:dyDescent="0.2">
      <c r="A113" s="48">
        <v>2000</v>
      </c>
      <c r="B113">
        <v>42</v>
      </c>
      <c r="C113" s="49">
        <f t="shared" si="10"/>
        <v>84000</v>
      </c>
    </row>
    <row r="114" spans="1:3" ht="14.25" customHeight="1" x14ac:dyDescent="0.2">
      <c r="A114" s="48">
        <v>1000</v>
      </c>
      <c r="B114">
        <v>3</v>
      </c>
      <c r="C114" s="49">
        <f t="shared" si="10"/>
        <v>3000</v>
      </c>
    </row>
    <row r="115" spans="1:3" ht="14.25" customHeight="1" x14ac:dyDescent="0.2">
      <c r="A115" s="48"/>
      <c r="C115" s="56"/>
    </row>
    <row r="116" spans="1:3" ht="14.25" customHeight="1" x14ac:dyDescent="0.2">
      <c r="C116" s="55">
        <f>SUM(C108:C115)</f>
        <v>1082000</v>
      </c>
    </row>
    <row r="117" spans="1:3" ht="14.25" customHeight="1" x14ac:dyDescent="0.2"/>
    <row r="118" spans="1:3" ht="14.25" customHeight="1" x14ac:dyDescent="0.2">
      <c r="A118" s="86" t="s">
        <v>543</v>
      </c>
      <c r="B118" s="86"/>
      <c r="C118" s="86"/>
    </row>
    <row r="119" spans="1:3" ht="14.25" customHeight="1" x14ac:dyDescent="0.2">
      <c r="A119" s="48">
        <v>100000</v>
      </c>
      <c r="B119">
        <v>0</v>
      </c>
      <c r="C119" s="49">
        <f t="shared" ref="C119:C125" si="11">A119*B119</f>
        <v>0</v>
      </c>
    </row>
    <row r="120" spans="1:3" ht="14.25" customHeight="1" x14ac:dyDescent="0.2">
      <c r="A120" s="48">
        <v>50000</v>
      </c>
      <c r="B120">
        <v>8</v>
      </c>
      <c r="C120" s="49">
        <f t="shared" si="11"/>
        <v>400000</v>
      </c>
    </row>
    <row r="121" spans="1:3" ht="14.25" customHeight="1" x14ac:dyDescent="0.2">
      <c r="A121" s="48">
        <v>20000</v>
      </c>
      <c r="B121">
        <v>5</v>
      </c>
      <c r="C121" s="49">
        <f t="shared" si="11"/>
        <v>100000</v>
      </c>
    </row>
    <row r="122" spans="1:3" ht="14.25" customHeight="1" x14ac:dyDescent="0.2">
      <c r="A122" s="48">
        <v>10000</v>
      </c>
      <c r="B122">
        <v>30</v>
      </c>
      <c r="C122" s="49">
        <f t="shared" si="11"/>
        <v>300000</v>
      </c>
    </row>
    <row r="123" spans="1:3" ht="14.25" customHeight="1" x14ac:dyDescent="0.2">
      <c r="A123" s="48">
        <v>5000</v>
      </c>
      <c r="B123">
        <v>62</v>
      </c>
      <c r="C123" s="49">
        <f t="shared" si="11"/>
        <v>310000</v>
      </c>
    </row>
    <row r="124" spans="1:3" ht="14.25" customHeight="1" x14ac:dyDescent="0.2">
      <c r="A124" s="48">
        <v>2000</v>
      </c>
      <c r="B124">
        <v>22</v>
      </c>
      <c r="C124" s="49">
        <f t="shared" si="11"/>
        <v>44000</v>
      </c>
    </row>
    <row r="125" spans="1:3" ht="14.25" customHeight="1" x14ac:dyDescent="0.2">
      <c r="A125" s="48">
        <v>1000</v>
      </c>
      <c r="B125">
        <v>4</v>
      </c>
      <c r="C125" s="49">
        <f t="shared" si="11"/>
        <v>4000</v>
      </c>
    </row>
    <row r="126" spans="1:3" ht="14.25" customHeight="1" x14ac:dyDescent="0.2">
      <c r="A126" s="48"/>
      <c r="C126" s="56"/>
    </row>
    <row r="127" spans="1:3" ht="14.25" customHeight="1" x14ac:dyDescent="0.2">
      <c r="C127" s="55">
        <f>SUM(C119:C126)</f>
        <v>1158000</v>
      </c>
    </row>
    <row r="128" spans="1:3" ht="14.25" customHeight="1" x14ac:dyDescent="0.2"/>
    <row r="129" spans="1:3" ht="14.25" customHeight="1" x14ac:dyDescent="0.2">
      <c r="A129" s="87" t="s">
        <v>555</v>
      </c>
      <c r="B129" s="86"/>
      <c r="C129" s="86"/>
    </row>
    <row r="130" spans="1:3" ht="14.25" customHeight="1" x14ac:dyDescent="0.2">
      <c r="A130" s="48">
        <v>100000</v>
      </c>
      <c r="B130">
        <v>3</v>
      </c>
      <c r="C130" s="49">
        <f t="shared" ref="C130:C136" si="12">A130*B130</f>
        <v>300000</v>
      </c>
    </row>
    <row r="131" spans="1:3" ht="14.25" customHeight="1" x14ac:dyDescent="0.2">
      <c r="A131" s="48">
        <v>50000</v>
      </c>
      <c r="B131">
        <v>10</v>
      </c>
      <c r="C131" s="49">
        <f t="shared" si="12"/>
        <v>500000</v>
      </c>
    </row>
    <row r="132" spans="1:3" ht="14.25" customHeight="1" x14ac:dyDescent="0.2">
      <c r="A132" s="48">
        <v>20000</v>
      </c>
      <c r="B132">
        <v>5</v>
      </c>
      <c r="C132" s="49">
        <f t="shared" si="12"/>
        <v>100000</v>
      </c>
    </row>
    <row r="133" spans="1:3" ht="14.25" customHeight="1" x14ac:dyDescent="0.2">
      <c r="A133" s="48">
        <v>10000</v>
      </c>
      <c r="B133">
        <v>53</v>
      </c>
      <c r="C133" s="49">
        <f t="shared" si="12"/>
        <v>530000</v>
      </c>
    </row>
    <row r="134" spans="1:3" ht="14.25" customHeight="1" x14ac:dyDescent="0.2">
      <c r="A134" s="48">
        <v>5000</v>
      </c>
      <c r="B134">
        <v>107</v>
      </c>
      <c r="C134" s="49">
        <f t="shared" si="12"/>
        <v>535000</v>
      </c>
    </row>
    <row r="135" spans="1:3" ht="14.25" customHeight="1" x14ac:dyDescent="0.2">
      <c r="A135" s="48">
        <v>2000</v>
      </c>
      <c r="B135">
        <v>89</v>
      </c>
      <c r="C135" s="49">
        <f t="shared" si="12"/>
        <v>178000</v>
      </c>
    </row>
    <row r="136" spans="1:3" ht="14.25" customHeight="1" x14ac:dyDescent="0.2">
      <c r="A136" s="48">
        <v>1000</v>
      </c>
      <c r="B136">
        <v>2</v>
      </c>
      <c r="C136" s="49">
        <f t="shared" si="12"/>
        <v>2000</v>
      </c>
    </row>
    <row r="137" spans="1:3" ht="14.25" customHeight="1" x14ac:dyDescent="0.2">
      <c r="A137" s="48"/>
      <c r="C137" s="56"/>
    </row>
    <row r="138" spans="1:3" ht="14.25" customHeight="1" x14ac:dyDescent="0.2">
      <c r="C138" s="55">
        <f>SUM(C130:C137)</f>
        <v>2145000</v>
      </c>
    </row>
    <row r="139" spans="1:3" ht="14.25" customHeight="1" x14ac:dyDescent="0.2"/>
    <row r="140" spans="1:3" ht="14.25" customHeight="1" x14ac:dyDescent="0.2">
      <c r="A140" s="87" t="s">
        <v>556</v>
      </c>
      <c r="B140" s="86"/>
      <c r="C140" s="86"/>
    </row>
    <row r="141" spans="1:3" ht="14.25" customHeight="1" x14ac:dyDescent="0.2">
      <c r="A141" s="48">
        <v>100000</v>
      </c>
      <c r="B141">
        <v>3</v>
      </c>
      <c r="C141" s="49">
        <f t="shared" ref="C141:C147" si="13">A141*B141</f>
        <v>300000</v>
      </c>
    </row>
    <row r="142" spans="1:3" ht="14.25" customHeight="1" x14ac:dyDescent="0.2">
      <c r="A142" s="48">
        <v>50000</v>
      </c>
      <c r="B142">
        <v>11</v>
      </c>
      <c r="C142" s="49">
        <f t="shared" si="13"/>
        <v>550000</v>
      </c>
    </row>
    <row r="143" spans="1:3" ht="14.25" customHeight="1" x14ac:dyDescent="0.2">
      <c r="A143" s="48">
        <v>20000</v>
      </c>
      <c r="B143">
        <v>6</v>
      </c>
      <c r="C143" s="49">
        <f t="shared" si="13"/>
        <v>120000</v>
      </c>
    </row>
    <row r="144" spans="1:3" ht="14.25" customHeight="1" x14ac:dyDescent="0.2">
      <c r="A144" s="48">
        <v>10000</v>
      </c>
      <c r="B144">
        <v>55</v>
      </c>
      <c r="C144" s="49">
        <f t="shared" si="13"/>
        <v>550000</v>
      </c>
    </row>
    <row r="145" spans="1:3" ht="14.25" customHeight="1" x14ac:dyDescent="0.2">
      <c r="A145" s="48">
        <v>5000</v>
      </c>
      <c r="B145">
        <v>100</v>
      </c>
      <c r="C145" s="49">
        <f t="shared" si="13"/>
        <v>500000</v>
      </c>
    </row>
    <row r="146" spans="1:3" ht="14.25" customHeight="1" x14ac:dyDescent="0.2">
      <c r="A146" s="48">
        <v>2000</v>
      </c>
      <c r="B146">
        <v>65</v>
      </c>
      <c r="C146" s="49">
        <f t="shared" si="13"/>
        <v>130000</v>
      </c>
    </row>
    <row r="147" spans="1:3" ht="14.25" customHeight="1" x14ac:dyDescent="0.2">
      <c r="A147" s="48">
        <v>1000</v>
      </c>
      <c r="B147">
        <v>0</v>
      </c>
      <c r="C147" s="49">
        <f t="shared" si="13"/>
        <v>0</v>
      </c>
    </row>
    <row r="148" spans="1:3" ht="14.25" customHeight="1" x14ac:dyDescent="0.2">
      <c r="A148" s="48"/>
      <c r="C148" s="56"/>
    </row>
    <row r="149" spans="1:3" ht="14.25" customHeight="1" x14ac:dyDescent="0.2">
      <c r="C149" s="55">
        <f>SUM(C141:C148)</f>
        <v>2150000</v>
      </c>
    </row>
    <row r="150" spans="1:3" ht="14.25" customHeight="1" x14ac:dyDescent="0.2"/>
    <row r="151" spans="1:3" ht="14.25" customHeight="1" x14ac:dyDescent="0.2">
      <c r="A151" s="87" t="s">
        <v>562</v>
      </c>
      <c r="B151" s="86"/>
      <c r="C151" s="86"/>
    </row>
    <row r="152" spans="1:3" ht="14.25" customHeight="1" x14ac:dyDescent="0.2">
      <c r="A152" s="48">
        <v>100000</v>
      </c>
      <c r="B152">
        <v>2</v>
      </c>
      <c r="C152" s="49">
        <f t="shared" ref="C152:C158" si="14">A152*B152</f>
        <v>200000</v>
      </c>
    </row>
    <row r="153" spans="1:3" ht="14.25" customHeight="1" x14ac:dyDescent="0.2">
      <c r="A153" s="48">
        <v>50000</v>
      </c>
      <c r="B153">
        <v>10</v>
      </c>
      <c r="C153" s="49">
        <f t="shared" si="14"/>
        <v>500000</v>
      </c>
    </row>
    <row r="154" spans="1:3" ht="14.25" customHeight="1" x14ac:dyDescent="0.2">
      <c r="A154" s="48">
        <v>20000</v>
      </c>
      <c r="B154">
        <v>10</v>
      </c>
      <c r="C154" s="49">
        <f t="shared" si="14"/>
        <v>200000</v>
      </c>
    </row>
    <row r="155" spans="1:3" ht="14.25" customHeight="1" x14ac:dyDescent="0.2">
      <c r="A155" s="48">
        <v>10000</v>
      </c>
      <c r="B155">
        <v>20</v>
      </c>
      <c r="C155" s="49">
        <f t="shared" si="14"/>
        <v>200000</v>
      </c>
    </row>
    <row r="156" spans="1:3" ht="14.25" customHeight="1" x14ac:dyDescent="0.2">
      <c r="A156" s="48">
        <v>5000</v>
      </c>
      <c r="B156">
        <v>90</v>
      </c>
      <c r="C156" s="49">
        <f t="shared" si="14"/>
        <v>450000</v>
      </c>
    </row>
    <row r="157" spans="1:3" ht="14.25" customHeight="1" x14ac:dyDescent="0.2">
      <c r="A157" s="48">
        <v>2000</v>
      </c>
      <c r="B157">
        <v>30</v>
      </c>
      <c r="C157" s="49">
        <f t="shared" si="14"/>
        <v>60000</v>
      </c>
    </row>
    <row r="158" spans="1:3" ht="14.25" customHeight="1" x14ac:dyDescent="0.2">
      <c r="A158" s="48">
        <v>1000</v>
      </c>
      <c r="B158">
        <v>0</v>
      </c>
      <c r="C158" s="49">
        <f t="shared" si="14"/>
        <v>0</v>
      </c>
    </row>
    <row r="159" spans="1:3" ht="14.25" customHeight="1" x14ac:dyDescent="0.2">
      <c r="A159" s="48"/>
      <c r="C159" s="56"/>
    </row>
    <row r="160" spans="1:3" ht="14.25" customHeight="1" x14ac:dyDescent="0.2">
      <c r="C160" s="55">
        <f>SUM(C152:C159)</f>
        <v>1610000</v>
      </c>
    </row>
    <row r="161" spans="1:3" ht="14.25" customHeight="1" x14ac:dyDescent="0.2"/>
    <row r="162" spans="1:3" ht="14.25" customHeight="1" x14ac:dyDescent="0.2">
      <c r="A162" s="87" t="s">
        <v>572</v>
      </c>
      <c r="B162" s="86"/>
      <c r="C162" s="86"/>
    </row>
    <row r="163" spans="1:3" ht="14.25" customHeight="1" x14ac:dyDescent="0.2">
      <c r="A163" s="48">
        <v>100000</v>
      </c>
      <c r="B163">
        <v>2</v>
      </c>
      <c r="C163" s="49">
        <f t="shared" ref="C163:C169" si="15">A163*B163</f>
        <v>200000</v>
      </c>
    </row>
    <row r="164" spans="1:3" ht="14.25" customHeight="1" x14ac:dyDescent="0.2">
      <c r="A164" s="48">
        <v>50000</v>
      </c>
      <c r="B164">
        <v>2</v>
      </c>
      <c r="C164" s="49">
        <f t="shared" si="15"/>
        <v>100000</v>
      </c>
    </row>
    <row r="165" spans="1:3" ht="14.25" customHeight="1" x14ac:dyDescent="0.2">
      <c r="A165" s="48">
        <v>20000</v>
      </c>
      <c r="B165">
        <v>10</v>
      </c>
      <c r="C165" s="49">
        <f t="shared" si="15"/>
        <v>200000</v>
      </c>
    </row>
    <row r="166" spans="1:3" ht="14.25" customHeight="1" x14ac:dyDescent="0.2">
      <c r="A166" s="48">
        <v>10000</v>
      </c>
      <c r="B166">
        <v>30</v>
      </c>
      <c r="C166" s="49">
        <f t="shared" si="15"/>
        <v>300000</v>
      </c>
    </row>
    <row r="167" spans="1:3" ht="14.25" customHeight="1" x14ac:dyDescent="0.2">
      <c r="A167" s="48">
        <v>5000</v>
      </c>
      <c r="B167">
        <v>70</v>
      </c>
      <c r="C167" s="49">
        <f t="shared" si="15"/>
        <v>350000</v>
      </c>
    </row>
    <row r="168" spans="1:3" ht="14.25" customHeight="1" x14ac:dyDescent="0.2">
      <c r="A168" s="48">
        <v>2000</v>
      </c>
      <c r="B168">
        <v>100</v>
      </c>
      <c r="C168" s="49">
        <f t="shared" si="15"/>
        <v>200000</v>
      </c>
    </row>
    <row r="169" spans="1:3" ht="14.25" customHeight="1" x14ac:dyDescent="0.2">
      <c r="A169" s="48">
        <v>1000</v>
      </c>
      <c r="B169">
        <v>0</v>
      </c>
      <c r="C169" s="49">
        <f t="shared" si="15"/>
        <v>0</v>
      </c>
    </row>
    <row r="170" spans="1:3" ht="14.25" customHeight="1" x14ac:dyDescent="0.2">
      <c r="A170" s="48"/>
      <c r="C170" s="56"/>
    </row>
    <row r="171" spans="1:3" ht="14.25" customHeight="1" x14ac:dyDescent="0.2">
      <c r="C171" s="55">
        <f>SUM(C163:C170)</f>
        <v>1350000</v>
      </c>
    </row>
    <row r="172" spans="1:3" ht="14.25" customHeight="1" x14ac:dyDescent="0.2"/>
    <row r="173" spans="1:3" ht="14.25" customHeight="1" x14ac:dyDescent="0.2">
      <c r="A173" s="87" t="s">
        <v>573</v>
      </c>
      <c r="B173" s="86"/>
      <c r="C173" s="86"/>
    </row>
    <row r="174" spans="1:3" ht="14.25" customHeight="1" x14ac:dyDescent="0.2">
      <c r="A174" s="48">
        <v>100000</v>
      </c>
      <c r="B174">
        <v>1</v>
      </c>
      <c r="C174" s="49">
        <f t="shared" ref="C174:C180" si="16">A174*B174</f>
        <v>100000</v>
      </c>
    </row>
    <row r="175" spans="1:3" ht="14.25" customHeight="1" x14ac:dyDescent="0.2">
      <c r="A175" s="48">
        <v>50000</v>
      </c>
      <c r="B175">
        <v>4</v>
      </c>
      <c r="C175" s="49">
        <f t="shared" si="16"/>
        <v>200000</v>
      </c>
    </row>
    <row r="176" spans="1:3" ht="14.25" customHeight="1" x14ac:dyDescent="0.2">
      <c r="A176" s="48">
        <v>20000</v>
      </c>
      <c r="B176">
        <v>17</v>
      </c>
      <c r="C176" s="49">
        <f t="shared" si="16"/>
        <v>340000</v>
      </c>
    </row>
    <row r="177" spans="1:3" ht="14.25" customHeight="1" x14ac:dyDescent="0.2">
      <c r="A177" s="48">
        <v>10000</v>
      </c>
      <c r="B177">
        <v>60</v>
      </c>
      <c r="C177" s="49">
        <f t="shared" si="16"/>
        <v>600000</v>
      </c>
    </row>
    <row r="178" spans="1:3" ht="14.25" customHeight="1" x14ac:dyDescent="0.2">
      <c r="A178" s="48">
        <v>5000</v>
      </c>
      <c r="B178">
        <v>100</v>
      </c>
      <c r="C178" s="49">
        <f t="shared" si="16"/>
        <v>500000</v>
      </c>
    </row>
    <row r="179" spans="1:3" ht="14.25" customHeight="1" x14ac:dyDescent="0.2">
      <c r="A179" s="48">
        <v>2000</v>
      </c>
      <c r="B179">
        <v>90</v>
      </c>
      <c r="C179" s="49">
        <f t="shared" si="16"/>
        <v>180000</v>
      </c>
    </row>
    <row r="180" spans="1:3" ht="14.25" customHeight="1" x14ac:dyDescent="0.2">
      <c r="A180" s="48">
        <v>1000</v>
      </c>
      <c r="B180">
        <v>0</v>
      </c>
      <c r="C180" s="49">
        <f t="shared" si="16"/>
        <v>0</v>
      </c>
    </row>
    <row r="181" spans="1:3" ht="14.25" customHeight="1" x14ac:dyDescent="0.2">
      <c r="A181" s="48"/>
      <c r="C181" s="56"/>
    </row>
    <row r="182" spans="1:3" ht="14.25" customHeight="1" x14ac:dyDescent="0.2">
      <c r="C182" s="55">
        <f>SUM(C174:C181)</f>
        <v>1920000</v>
      </c>
    </row>
    <row r="183" spans="1:3" ht="14.25" customHeight="1" x14ac:dyDescent="0.2"/>
    <row r="184" spans="1:3" ht="14.25" customHeight="1" x14ac:dyDescent="0.2">
      <c r="A184" s="85" t="s">
        <v>585</v>
      </c>
      <c r="B184" s="85"/>
      <c r="C184" s="85"/>
    </row>
    <row r="185" spans="1:3" ht="14.25" customHeight="1" x14ac:dyDescent="0.2">
      <c r="A185" s="48">
        <v>100000</v>
      </c>
      <c r="B185">
        <v>1</v>
      </c>
      <c r="C185" s="49">
        <f t="shared" ref="C185:C191" si="17">A185*B185</f>
        <v>100000</v>
      </c>
    </row>
    <row r="186" spans="1:3" ht="14.25" customHeight="1" x14ac:dyDescent="0.2">
      <c r="A186" s="48">
        <v>50000</v>
      </c>
      <c r="B186">
        <v>4</v>
      </c>
      <c r="C186" s="49">
        <f t="shared" si="17"/>
        <v>200000</v>
      </c>
    </row>
    <row r="187" spans="1:3" ht="14.25" customHeight="1" x14ac:dyDescent="0.2">
      <c r="A187" s="48">
        <v>20000</v>
      </c>
      <c r="B187">
        <v>20</v>
      </c>
      <c r="C187" s="49">
        <f t="shared" si="17"/>
        <v>400000</v>
      </c>
    </row>
    <row r="188" spans="1:3" ht="14.25" customHeight="1" x14ac:dyDescent="0.2">
      <c r="A188" s="48">
        <v>10000</v>
      </c>
      <c r="B188">
        <v>65</v>
      </c>
      <c r="C188" s="49">
        <f t="shared" si="17"/>
        <v>650000</v>
      </c>
    </row>
    <row r="189" spans="1:3" ht="14.25" customHeight="1" x14ac:dyDescent="0.2">
      <c r="A189" s="48">
        <v>5000</v>
      </c>
      <c r="B189">
        <v>96</v>
      </c>
      <c r="C189" s="49">
        <f t="shared" si="17"/>
        <v>480000</v>
      </c>
    </row>
    <row r="190" spans="1:3" ht="14.25" customHeight="1" x14ac:dyDescent="0.2">
      <c r="A190" s="48">
        <v>2000</v>
      </c>
      <c r="B190">
        <v>72</v>
      </c>
      <c r="C190" s="49">
        <f t="shared" si="17"/>
        <v>144000</v>
      </c>
    </row>
    <row r="191" spans="1:3" ht="14.25" customHeight="1" x14ac:dyDescent="0.2">
      <c r="A191" s="48">
        <v>1000</v>
      </c>
      <c r="B191">
        <v>23</v>
      </c>
      <c r="C191" s="49">
        <f t="shared" si="17"/>
        <v>23000</v>
      </c>
    </row>
    <row r="192" spans="1:3" ht="14.25" customHeight="1" x14ac:dyDescent="0.2">
      <c r="A192" s="48"/>
      <c r="C192" s="56"/>
    </row>
    <row r="193" spans="1:3" ht="14.25" customHeight="1" x14ac:dyDescent="0.2">
      <c r="C193" s="55">
        <f>SUM(C185:C192)</f>
        <v>1997000</v>
      </c>
    </row>
    <row r="194" spans="1:3" ht="14.25" customHeight="1" x14ac:dyDescent="0.2"/>
    <row r="195" spans="1:3" ht="14.25" customHeight="1" x14ac:dyDescent="0.2">
      <c r="A195" s="85" t="s">
        <v>586</v>
      </c>
      <c r="B195" s="85"/>
      <c r="C195" s="85"/>
    </row>
    <row r="196" spans="1:3" ht="14.25" customHeight="1" x14ac:dyDescent="0.2">
      <c r="A196" s="48">
        <v>100000</v>
      </c>
      <c r="B196">
        <v>3</v>
      </c>
      <c r="C196" s="49">
        <f t="shared" ref="C196:C202" si="18">A196*B196</f>
        <v>300000</v>
      </c>
    </row>
    <row r="197" spans="1:3" ht="14.25" customHeight="1" x14ac:dyDescent="0.2">
      <c r="A197" s="48">
        <v>50000</v>
      </c>
      <c r="B197">
        <v>5</v>
      </c>
      <c r="C197" s="49">
        <f t="shared" si="18"/>
        <v>250000</v>
      </c>
    </row>
    <row r="198" spans="1:3" ht="14.25" customHeight="1" x14ac:dyDescent="0.2">
      <c r="A198" s="48">
        <v>20000</v>
      </c>
      <c r="B198">
        <v>10</v>
      </c>
      <c r="C198" s="49">
        <f t="shared" si="18"/>
        <v>200000</v>
      </c>
    </row>
    <row r="199" spans="1:3" ht="14.25" customHeight="1" x14ac:dyDescent="0.2">
      <c r="A199" s="48">
        <v>10000</v>
      </c>
      <c r="B199">
        <v>63</v>
      </c>
      <c r="C199" s="49">
        <f t="shared" si="18"/>
        <v>630000</v>
      </c>
    </row>
    <row r="200" spans="1:3" ht="14.25" customHeight="1" x14ac:dyDescent="0.2">
      <c r="A200" s="48">
        <v>5000</v>
      </c>
      <c r="B200">
        <v>102</v>
      </c>
      <c r="C200" s="49">
        <f t="shared" si="18"/>
        <v>510000</v>
      </c>
    </row>
    <row r="201" spans="1:3" ht="14.25" customHeight="1" x14ac:dyDescent="0.2">
      <c r="A201" s="48">
        <v>2000</v>
      </c>
      <c r="B201">
        <v>56</v>
      </c>
      <c r="C201" s="49">
        <f t="shared" si="18"/>
        <v>112000</v>
      </c>
    </row>
    <row r="202" spans="1:3" ht="14.25" customHeight="1" x14ac:dyDescent="0.2">
      <c r="A202" s="48">
        <v>1000</v>
      </c>
      <c r="B202">
        <v>3</v>
      </c>
      <c r="C202" s="49">
        <f t="shared" si="18"/>
        <v>3000</v>
      </c>
    </row>
    <row r="203" spans="1:3" ht="14.25" customHeight="1" x14ac:dyDescent="0.2">
      <c r="A203" s="48"/>
      <c r="C203" s="56"/>
    </row>
    <row r="204" spans="1:3" ht="14.25" customHeight="1" x14ac:dyDescent="0.2">
      <c r="C204" s="55">
        <f>SUM(C196:C203)</f>
        <v>2005000</v>
      </c>
    </row>
    <row r="205" spans="1:3" ht="14.25" customHeight="1" x14ac:dyDescent="0.2"/>
    <row r="206" spans="1:3" ht="14.25" customHeight="1" x14ac:dyDescent="0.2">
      <c r="A206" s="85" t="s">
        <v>592</v>
      </c>
      <c r="B206" s="85"/>
      <c r="C206" s="85"/>
    </row>
    <row r="207" spans="1:3" ht="14.25" customHeight="1" x14ac:dyDescent="0.2">
      <c r="A207" s="48">
        <v>100000</v>
      </c>
      <c r="B207">
        <v>0</v>
      </c>
      <c r="C207" s="49">
        <f t="shared" ref="C207:C213" si="19">A207*B207</f>
        <v>0</v>
      </c>
    </row>
    <row r="208" spans="1:3" ht="14.25" customHeight="1" x14ac:dyDescent="0.2">
      <c r="A208" s="48">
        <v>50000</v>
      </c>
      <c r="B208">
        <v>11</v>
      </c>
      <c r="C208" s="49">
        <f t="shared" si="19"/>
        <v>550000</v>
      </c>
    </row>
    <row r="209" spans="1:3" ht="14.25" customHeight="1" x14ac:dyDescent="0.2">
      <c r="A209" s="48">
        <v>20000</v>
      </c>
      <c r="B209">
        <v>14</v>
      </c>
      <c r="C209" s="49">
        <f t="shared" si="19"/>
        <v>280000</v>
      </c>
    </row>
    <row r="210" spans="1:3" ht="14.25" customHeight="1" x14ac:dyDescent="0.2">
      <c r="A210" s="48">
        <v>10000</v>
      </c>
      <c r="B210">
        <v>60</v>
      </c>
      <c r="C210" s="49">
        <f t="shared" si="19"/>
        <v>600000</v>
      </c>
    </row>
    <row r="211" spans="1:3" ht="14.25" customHeight="1" x14ac:dyDescent="0.2">
      <c r="A211" s="48">
        <v>5000</v>
      </c>
      <c r="B211">
        <v>194</v>
      </c>
      <c r="C211" s="49">
        <f t="shared" si="19"/>
        <v>970000</v>
      </c>
    </row>
    <row r="212" spans="1:3" ht="14.25" customHeight="1" x14ac:dyDescent="0.2">
      <c r="A212" s="48">
        <v>2000</v>
      </c>
      <c r="B212">
        <v>85</v>
      </c>
      <c r="C212" s="49">
        <f t="shared" si="19"/>
        <v>170000</v>
      </c>
    </row>
    <row r="213" spans="1:3" ht="14.25" customHeight="1" x14ac:dyDescent="0.2">
      <c r="A213" s="48">
        <v>1000</v>
      </c>
      <c r="B213">
        <v>1</v>
      </c>
      <c r="C213" s="49">
        <f t="shared" si="19"/>
        <v>1000</v>
      </c>
    </row>
    <row r="214" spans="1:3" ht="14.25" customHeight="1" x14ac:dyDescent="0.2">
      <c r="A214" s="48"/>
      <c r="C214" s="56"/>
    </row>
    <row r="215" spans="1:3" ht="14.25" customHeight="1" x14ac:dyDescent="0.2">
      <c r="C215" s="55">
        <f>SUM(C207:C214)</f>
        <v>2571000</v>
      </c>
    </row>
    <row r="216" spans="1:3" ht="14.25" customHeight="1" x14ac:dyDescent="0.2"/>
    <row r="217" spans="1:3" ht="14.25" customHeight="1" x14ac:dyDescent="0.2">
      <c r="A217" s="85" t="s">
        <v>627</v>
      </c>
      <c r="B217" s="85"/>
      <c r="C217" s="85"/>
    </row>
    <row r="218" spans="1:3" ht="14.25" customHeight="1" x14ac:dyDescent="0.2">
      <c r="A218" s="48">
        <v>100000</v>
      </c>
      <c r="B218">
        <v>2</v>
      </c>
      <c r="C218" s="49">
        <f t="shared" ref="C218:C224" si="20">A218*B218</f>
        <v>200000</v>
      </c>
    </row>
    <row r="219" spans="1:3" ht="14.25" customHeight="1" x14ac:dyDescent="0.2">
      <c r="A219" s="48">
        <v>50000</v>
      </c>
      <c r="B219">
        <v>6</v>
      </c>
      <c r="C219" s="49">
        <f t="shared" si="20"/>
        <v>300000</v>
      </c>
    </row>
    <row r="220" spans="1:3" ht="14.25" customHeight="1" x14ac:dyDescent="0.2">
      <c r="A220" s="48">
        <v>20000</v>
      </c>
      <c r="B220">
        <v>10</v>
      </c>
      <c r="C220" s="49">
        <f t="shared" si="20"/>
        <v>200000</v>
      </c>
    </row>
    <row r="221" spans="1:3" ht="14.25" customHeight="1" x14ac:dyDescent="0.2">
      <c r="A221" s="48">
        <v>10000</v>
      </c>
      <c r="B221">
        <v>38</v>
      </c>
      <c r="C221" s="49">
        <f t="shared" si="20"/>
        <v>380000</v>
      </c>
    </row>
    <row r="222" spans="1:3" ht="14.25" customHeight="1" x14ac:dyDescent="0.2">
      <c r="A222" s="48">
        <v>5000</v>
      </c>
      <c r="B222">
        <v>102</v>
      </c>
      <c r="C222" s="49">
        <f t="shared" si="20"/>
        <v>510000</v>
      </c>
    </row>
    <row r="223" spans="1:3" ht="14.25" customHeight="1" x14ac:dyDescent="0.2">
      <c r="A223" s="48">
        <v>2000</v>
      </c>
      <c r="B223">
        <v>63</v>
      </c>
      <c r="C223" s="49">
        <f t="shared" si="20"/>
        <v>126000</v>
      </c>
    </row>
    <row r="224" spans="1:3" ht="14.25" customHeight="1" x14ac:dyDescent="0.2">
      <c r="A224" s="48">
        <v>1000</v>
      </c>
      <c r="B224">
        <v>15</v>
      </c>
      <c r="C224" s="49">
        <f t="shared" si="20"/>
        <v>15000</v>
      </c>
    </row>
    <row r="225" spans="1:3" ht="14.25" customHeight="1" x14ac:dyDescent="0.2">
      <c r="A225" s="48"/>
      <c r="C225" s="56"/>
    </row>
    <row r="226" spans="1:3" ht="14.25" customHeight="1" x14ac:dyDescent="0.2">
      <c r="C226" s="55">
        <f>SUM(C218:C225)</f>
        <v>1731000</v>
      </c>
    </row>
    <row r="227" spans="1:3" ht="14.25" customHeight="1" x14ac:dyDescent="0.2"/>
    <row r="228" spans="1:3" ht="14.25" customHeight="1" x14ac:dyDescent="0.2">
      <c r="A228" s="85" t="s">
        <v>632</v>
      </c>
      <c r="B228" s="85"/>
      <c r="C228" s="85"/>
    </row>
    <row r="229" spans="1:3" ht="14.25" customHeight="1" x14ac:dyDescent="0.2">
      <c r="A229" s="48">
        <v>100000</v>
      </c>
      <c r="B229">
        <v>1</v>
      </c>
      <c r="C229" s="49">
        <f t="shared" ref="C229:C235" si="21">A229*B229</f>
        <v>100000</v>
      </c>
    </row>
    <row r="230" spans="1:3" ht="14.25" customHeight="1" x14ac:dyDescent="0.2">
      <c r="A230" s="48">
        <v>50000</v>
      </c>
      <c r="B230">
        <v>12</v>
      </c>
      <c r="C230" s="49">
        <f t="shared" si="21"/>
        <v>600000</v>
      </c>
    </row>
    <row r="231" spans="1:3" ht="14.25" customHeight="1" x14ac:dyDescent="0.2">
      <c r="A231" s="48">
        <v>20000</v>
      </c>
      <c r="B231">
        <v>3</v>
      </c>
      <c r="C231" s="49">
        <f t="shared" si="21"/>
        <v>60000</v>
      </c>
    </row>
    <row r="232" spans="1:3" ht="14.25" customHeight="1" x14ac:dyDescent="0.2">
      <c r="A232" s="48">
        <v>10000</v>
      </c>
      <c r="B232">
        <v>43</v>
      </c>
      <c r="C232" s="49">
        <f t="shared" si="21"/>
        <v>430000</v>
      </c>
    </row>
    <row r="233" spans="1:3" ht="14.25" customHeight="1" x14ac:dyDescent="0.2">
      <c r="A233" s="48">
        <v>5000</v>
      </c>
      <c r="B233">
        <v>66</v>
      </c>
      <c r="C233" s="49">
        <f t="shared" si="21"/>
        <v>330000</v>
      </c>
    </row>
    <row r="234" spans="1:3" ht="14.25" customHeight="1" x14ac:dyDescent="0.2">
      <c r="A234" s="48">
        <v>2000</v>
      </c>
      <c r="B234">
        <v>50</v>
      </c>
      <c r="C234" s="49">
        <f t="shared" si="21"/>
        <v>100000</v>
      </c>
    </row>
    <row r="235" spans="1:3" ht="14.25" customHeight="1" x14ac:dyDescent="0.2">
      <c r="A235" s="48">
        <v>1000</v>
      </c>
      <c r="B235">
        <v>8</v>
      </c>
      <c r="C235" s="49">
        <f t="shared" si="21"/>
        <v>8000</v>
      </c>
    </row>
    <row r="236" spans="1:3" ht="14.25" customHeight="1" x14ac:dyDescent="0.2">
      <c r="A236" s="48"/>
      <c r="C236" s="56"/>
    </row>
    <row r="237" spans="1:3" ht="14.25" customHeight="1" x14ac:dyDescent="0.2">
      <c r="C237" s="55">
        <f>SUM(C229:C236)</f>
        <v>1628000</v>
      </c>
    </row>
    <row r="238" spans="1:3" ht="14.25" customHeight="1" x14ac:dyDescent="0.2"/>
    <row r="239" spans="1:3" ht="14.25" customHeight="1" x14ac:dyDescent="0.2"/>
    <row r="240" spans="1:3" ht="14.25" customHeight="1" x14ac:dyDescent="0.2">
      <c r="A240" s="85" t="s">
        <v>639</v>
      </c>
      <c r="B240" s="85"/>
      <c r="C240" s="85"/>
    </row>
    <row r="241" spans="1:3" ht="14.25" customHeight="1" x14ac:dyDescent="0.2">
      <c r="A241" s="48">
        <v>100000</v>
      </c>
      <c r="B241">
        <v>3</v>
      </c>
      <c r="C241" s="49">
        <f t="shared" ref="C241:C247" si="22">A241*B241</f>
        <v>300000</v>
      </c>
    </row>
    <row r="242" spans="1:3" ht="14.25" customHeight="1" x14ac:dyDescent="0.2">
      <c r="A242" s="48">
        <v>50000</v>
      </c>
      <c r="B242">
        <v>15</v>
      </c>
      <c r="C242" s="49">
        <f t="shared" si="22"/>
        <v>750000</v>
      </c>
    </row>
    <row r="243" spans="1:3" ht="14.25" customHeight="1" x14ac:dyDescent="0.2">
      <c r="A243" s="48">
        <v>20000</v>
      </c>
      <c r="B243">
        <v>14</v>
      </c>
      <c r="C243" s="49">
        <f t="shared" si="22"/>
        <v>280000</v>
      </c>
    </row>
    <row r="244" spans="1:3" ht="14.25" customHeight="1" x14ac:dyDescent="0.2">
      <c r="A244" s="48">
        <v>10000</v>
      </c>
      <c r="B244">
        <v>37</v>
      </c>
      <c r="C244" s="49">
        <f t="shared" si="22"/>
        <v>370000</v>
      </c>
    </row>
    <row r="245" spans="1:3" ht="14.25" customHeight="1" x14ac:dyDescent="0.2">
      <c r="A245" s="48">
        <v>5000</v>
      </c>
      <c r="B245">
        <v>118</v>
      </c>
      <c r="C245" s="49">
        <f t="shared" si="22"/>
        <v>590000</v>
      </c>
    </row>
    <row r="246" spans="1:3" ht="14.25" customHeight="1" x14ac:dyDescent="0.2">
      <c r="A246" s="48">
        <v>2000</v>
      </c>
      <c r="B246">
        <v>80</v>
      </c>
      <c r="C246" s="49">
        <f t="shared" si="22"/>
        <v>160000</v>
      </c>
    </row>
    <row r="247" spans="1:3" ht="14.25" customHeight="1" x14ac:dyDescent="0.2">
      <c r="A247" s="48">
        <v>1000</v>
      </c>
      <c r="B247">
        <v>20</v>
      </c>
      <c r="C247" s="49">
        <f t="shared" si="22"/>
        <v>20000</v>
      </c>
    </row>
    <row r="248" spans="1:3" ht="14.25" customHeight="1" x14ac:dyDescent="0.2">
      <c r="A248" s="48"/>
      <c r="C248" s="56"/>
    </row>
    <row r="249" spans="1:3" ht="14.25" customHeight="1" x14ac:dyDescent="0.2">
      <c r="C249" s="55">
        <f>SUM(C241:C248)</f>
        <v>2470000</v>
      </c>
    </row>
    <row r="250" spans="1:3" ht="14.25" customHeight="1" x14ac:dyDescent="0.2"/>
    <row r="251" spans="1:3" ht="14.25" customHeight="1" x14ac:dyDescent="0.2">
      <c r="A251" s="85" t="s">
        <v>640</v>
      </c>
      <c r="B251" s="85"/>
      <c r="C251" s="85"/>
    </row>
    <row r="252" spans="1:3" ht="14.25" customHeight="1" x14ac:dyDescent="0.2">
      <c r="A252" s="48">
        <v>100000</v>
      </c>
      <c r="B252">
        <v>1</v>
      </c>
      <c r="C252" s="49">
        <f t="shared" ref="C252:C259" si="23">A252*B252</f>
        <v>100000</v>
      </c>
    </row>
    <row r="253" spans="1:3" ht="14.25" customHeight="1" x14ac:dyDescent="0.2">
      <c r="A253" s="48">
        <v>50000</v>
      </c>
      <c r="B253">
        <v>12</v>
      </c>
      <c r="C253" s="49">
        <f t="shared" si="23"/>
        <v>600000</v>
      </c>
    </row>
    <row r="254" spans="1:3" ht="14.25" customHeight="1" x14ac:dyDescent="0.2">
      <c r="A254" s="48">
        <v>20000</v>
      </c>
      <c r="B254">
        <v>9</v>
      </c>
      <c r="C254" s="49">
        <f t="shared" si="23"/>
        <v>180000</v>
      </c>
    </row>
    <row r="255" spans="1:3" ht="14.25" customHeight="1" x14ac:dyDescent="0.2">
      <c r="A255" s="48">
        <v>10000</v>
      </c>
      <c r="B255">
        <v>38</v>
      </c>
      <c r="C255" s="49">
        <f t="shared" si="23"/>
        <v>380000</v>
      </c>
    </row>
    <row r="256" spans="1:3" ht="14.25" customHeight="1" x14ac:dyDescent="0.2">
      <c r="A256" s="48">
        <v>5000</v>
      </c>
      <c r="B256">
        <v>111</v>
      </c>
      <c r="C256" s="49">
        <f t="shared" si="23"/>
        <v>555000</v>
      </c>
    </row>
    <row r="257" spans="1:4" ht="14.25" customHeight="1" x14ac:dyDescent="0.2">
      <c r="A257" s="48">
        <v>2000</v>
      </c>
      <c r="B257">
        <v>59</v>
      </c>
      <c r="C257" s="49">
        <f t="shared" si="23"/>
        <v>118000</v>
      </c>
    </row>
    <row r="258" spans="1:4" ht="14.25" customHeight="1" x14ac:dyDescent="0.2">
      <c r="A258" s="48">
        <v>1000</v>
      </c>
      <c r="B258">
        <v>9</v>
      </c>
      <c r="C258" s="49">
        <f t="shared" si="23"/>
        <v>9000</v>
      </c>
    </row>
    <row r="259" spans="1:4" ht="14.25" customHeight="1" x14ac:dyDescent="0.2">
      <c r="A259" s="48">
        <v>500</v>
      </c>
      <c r="B259">
        <v>100</v>
      </c>
      <c r="C259" s="56">
        <f t="shared" si="23"/>
        <v>50000</v>
      </c>
    </row>
    <row r="260" spans="1:4" ht="14.25" customHeight="1" x14ac:dyDescent="0.2">
      <c r="C260" s="55">
        <f>SUM(C252:C259)</f>
        <v>1992000</v>
      </c>
    </row>
    <row r="261" spans="1:4" ht="14.25" customHeight="1" x14ac:dyDescent="0.2"/>
    <row r="262" spans="1:4" ht="14.25" customHeight="1" x14ac:dyDescent="0.2"/>
    <row r="263" spans="1:4" ht="14.25" customHeight="1" x14ac:dyDescent="0.2">
      <c r="A263" s="85" t="s">
        <v>650</v>
      </c>
      <c r="B263" s="85"/>
      <c r="C263" s="85"/>
    </row>
    <row r="264" spans="1:4" ht="14.25" customHeight="1" x14ac:dyDescent="0.2">
      <c r="A264" s="48">
        <v>100000</v>
      </c>
      <c r="B264">
        <v>4</v>
      </c>
      <c r="C264" s="49">
        <f t="shared" ref="C264:C271" si="24">A264*B264</f>
        <v>400000</v>
      </c>
    </row>
    <row r="265" spans="1:4" ht="14.25" customHeight="1" x14ac:dyDescent="0.2">
      <c r="A265" s="48">
        <v>50000</v>
      </c>
      <c r="B265">
        <v>7</v>
      </c>
      <c r="C265" s="49">
        <f t="shared" si="24"/>
        <v>350000</v>
      </c>
    </row>
    <row r="266" spans="1:4" ht="14.25" customHeight="1" x14ac:dyDescent="0.2">
      <c r="A266" s="48">
        <v>20000</v>
      </c>
      <c r="B266">
        <v>1</v>
      </c>
      <c r="C266" s="49">
        <f t="shared" si="24"/>
        <v>20000</v>
      </c>
    </row>
    <row r="267" spans="1:4" ht="14.25" customHeight="1" x14ac:dyDescent="0.2">
      <c r="A267" s="48">
        <v>10000</v>
      </c>
      <c r="B267">
        <v>12</v>
      </c>
      <c r="C267" s="49">
        <f t="shared" si="24"/>
        <v>120000</v>
      </c>
    </row>
    <row r="268" spans="1:4" ht="14.25" customHeight="1" x14ac:dyDescent="0.2">
      <c r="A268" s="48">
        <v>5000</v>
      </c>
      <c r="B268">
        <v>58</v>
      </c>
      <c r="C268" s="49">
        <f t="shared" si="24"/>
        <v>290000</v>
      </c>
      <c r="D268" s="49"/>
    </row>
    <row r="269" spans="1:4" ht="14.25" customHeight="1" x14ac:dyDescent="0.2">
      <c r="A269" s="48">
        <v>2000</v>
      </c>
      <c r="B269" s="75">
        <v>76</v>
      </c>
      <c r="C269" s="49">
        <f t="shared" si="24"/>
        <v>152000</v>
      </c>
    </row>
    <row r="270" spans="1:4" ht="14.25" customHeight="1" x14ac:dyDescent="0.2">
      <c r="A270" s="48">
        <v>1000</v>
      </c>
      <c r="B270">
        <v>0</v>
      </c>
      <c r="C270" s="49">
        <f t="shared" si="24"/>
        <v>0</v>
      </c>
    </row>
    <row r="271" spans="1:4" ht="14.25" customHeight="1" x14ac:dyDescent="0.2">
      <c r="A271" s="48">
        <v>500</v>
      </c>
      <c r="B271">
        <v>0</v>
      </c>
      <c r="C271" s="56">
        <f t="shared" si="24"/>
        <v>0</v>
      </c>
    </row>
    <row r="272" spans="1:4" ht="14.25" customHeight="1" x14ac:dyDescent="0.2">
      <c r="C272" s="55">
        <f>SUM(C264:C271)</f>
        <v>1332000</v>
      </c>
    </row>
    <row r="273" spans="1:3" ht="14.25" customHeight="1" x14ac:dyDescent="0.2"/>
    <row r="274" spans="1:3" ht="14.25" customHeight="1" x14ac:dyDescent="0.2"/>
    <row r="275" spans="1:3" ht="14.25" customHeight="1" x14ac:dyDescent="0.2">
      <c r="A275" s="85" t="s">
        <v>657</v>
      </c>
      <c r="B275" s="85"/>
      <c r="C275" s="85"/>
    </row>
    <row r="276" spans="1:3" ht="14.25" customHeight="1" x14ac:dyDescent="0.2">
      <c r="A276" s="48">
        <v>100000</v>
      </c>
      <c r="B276">
        <v>5</v>
      </c>
      <c r="C276" s="49">
        <f t="shared" ref="C276:C283" si="25">A276*B276</f>
        <v>500000</v>
      </c>
    </row>
    <row r="277" spans="1:3" ht="14.25" customHeight="1" x14ac:dyDescent="0.2">
      <c r="A277" s="48">
        <v>50000</v>
      </c>
      <c r="B277">
        <v>11</v>
      </c>
      <c r="C277" s="49">
        <f t="shared" si="25"/>
        <v>550000</v>
      </c>
    </row>
    <row r="278" spans="1:3" ht="14.25" customHeight="1" x14ac:dyDescent="0.2">
      <c r="A278" s="48">
        <v>20000</v>
      </c>
      <c r="B278">
        <v>7</v>
      </c>
      <c r="C278" s="49">
        <f t="shared" si="25"/>
        <v>140000</v>
      </c>
    </row>
    <row r="279" spans="1:3" ht="14.25" customHeight="1" x14ac:dyDescent="0.2">
      <c r="A279" s="48">
        <v>10000</v>
      </c>
      <c r="B279">
        <v>43</v>
      </c>
      <c r="C279" s="49">
        <f t="shared" si="25"/>
        <v>430000</v>
      </c>
    </row>
    <row r="280" spans="1:3" ht="14.25" customHeight="1" x14ac:dyDescent="0.2">
      <c r="A280" s="48">
        <v>5000</v>
      </c>
      <c r="B280">
        <v>105</v>
      </c>
      <c r="C280" s="49">
        <f t="shared" si="25"/>
        <v>525000</v>
      </c>
    </row>
    <row r="281" spans="1:3" ht="14.25" customHeight="1" x14ac:dyDescent="0.2">
      <c r="A281" s="48">
        <v>2000</v>
      </c>
      <c r="B281" s="75">
        <v>146</v>
      </c>
      <c r="C281" s="49">
        <f t="shared" si="25"/>
        <v>292000</v>
      </c>
    </row>
    <row r="282" spans="1:3" ht="14.25" customHeight="1" x14ac:dyDescent="0.2">
      <c r="A282" s="48">
        <v>1000</v>
      </c>
      <c r="B282">
        <v>9</v>
      </c>
      <c r="C282" s="49">
        <f t="shared" si="25"/>
        <v>9000</v>
      </c>
    </row>
    <row r="283" spans="1:3" ht="14.25" customHeight="1" x14ac:dyDescent="0.2">
      <c r="A283" s="48">
        <v>500</v>
      </c>
      <c r="B283">
        <v>0</v>
      </c>
      <c r="C283" s="56">
        <f t="shared" si="25"/>
        <v>0</v>
      </c>
    </row>
    <row r="284" spans="1:3" ht="14.25" customHeight="1" x14ac:dyDescent="0.2">
      <c r="C284" s="55">
        <f>SUM(C276:C283)</f>
        <v>2446000</v>
      </c>
    </row>
    <row r="285" spans="1:3" ht="14.25" customHeight="1" x14ac:dyDescent="0.2"/>
    <row r="286" spans="1:3" ht="14.25" customHeight="1" x14ac:dyDescent="0.2">
      <c r="A286" s="85" t="s">
        <v>672</v>
      </c>
      <c r="B286" s="85"/>
      <c r="C286" s="85"/>
    </row>
    <row r="287" spans="1:3" ht="14.25" customHeight="1" x14ac:dyDescent="0.2">
      <c r="A287" s="48">
        <v>100000</v>
      </c>
      <c r="B287">
        <v>7</v>
      </c>
      <c r="C287" s="49">
        <f t="shared" ref="C287:C294" si="26">A287*B287</f>
        <v>700000</v>
      </c>
    </row>
    <row r="288" spans="1:3" ht="14.25" customHeight="1" x14ac:dyDescent="0.2">
      <c r="A288" s="48">
        <v>50000</v>
      </c>
      <c r="B288">
        <v>19</v>
      </c>
      <c r="C288" s="49">
        <f t="shared" si="26"/>
        <v>950000</v>
      </c>
    </row>
    <row r="289" spans="1:3" ht="14.25" customHeight="1" x14ac:dyDescent="0.2">
      <c r="A289" s="48">
        <v>20000</v>
      </c>
      <c r="B289">
        <v>6</v>
      </c>
      <c r="C289" s="49">
        <f t="shared" si="26"/>
        <v>120000</v>
      </c>
    </row>
    <row r="290" spans="1:3" ht="14.25" customHeight="1" x14ac:dyDescent="0.2">
      <c r="A290" s="48">
        <v>10000</v>
      </c>
      <c r="B290">
        <v>52</v>
      </c>
      <c r="C290" s="49">
        <f t="shared" si="26"/>
        <v>520000</v>
      </c>
    </row>
    <row r="291" spans="1:3" ht="14.25" customHeight="1" x14ac:dyDescent="0.2">
      <c r="A291" s="48">
        <v>5000</v>
      </c>
      <c r="B291">
        <v>105</v>
      </c>
      <c r="C291" s="49">
        <f t="shared" si="26"/>
        <v>525000</v>
      </c>
    </row>
    <row r="292" spans="1:3" ht="14.25" customHeight="1" x14ac:dyDescent="0.2">
      <c r="A292" s="48">
        <v>2000</v>
      </c>
      <c r="B292" s="75">
        <v>50</v>
      </c>
      <c r="C292" s="49">
        <f t="shared" si="26"/>
        <v>100000</v>
      </c>
    </row>
    <row r="293" spans="1:3" ht="14.25" customHeight="1" x14ac:dyDescent="0.2">
      <c r="A293" s="48">
        <v>1000</v>
      </c>
      <c r="B293">
        <v>25</v>
      </c>
      <c r="C293" s="49">
        <f t="shared" si="26"/>
        <v>25000</v>
      </c>
    </row>
    <row r="294" spans="1:3" ht="14.25" customHeight="1" x14ac:dyDescent="0.2">
      <c r="A294" s="48">
        <v>500</v>
      </c>
      <c r="B294">
        <v>0</v>
      </c>
      <c r="C294" s="56">
        <f t="shared" si="26"/>
        <v>0</v>
      </c>
    </row>
    <row r="295" spans="1:3" ht="14.25" customHeight="1" x14ac:dyDescent="0.2">
      <c r="C295" s="55">
        <f>SUM(C287:C294)</f>
        <v>2940000</v>
      </c>
    </row>
    <row r="296" spans="1:3" ht="14.25" customHeight="1" x14ac:dyDescent="0.2"/>
    <row r="297" spans="1:3" ht="14.25" customHeight="1" x14ac:dyDescent="0.2"/>
    <row r="298" spans="1:3" ht="14.25" customHeight="1" x14ac:dyDescent="0.2">
      <c r="C298" s="75" t="s">
        <v>673</v>
      </c>
    </row>
    <row r="299" spans="1:3" ht="14.25" customHeight="1" x14ac:dyDescent="0.2">
      <c r="A299">
        <v>2000</v>
      </c>
      <c r="B299">
        <v>97</v>
      </c>
      <c r="C299">
        <f>A299*B299</f>
        <v>194000</v>
      </c>
    </row>
    <row r="300" spans="1:3" ht="14.25" customHeight="1" x14ac:dyDescent="0.2">
      <c r="A300">
        <v>1000</v>
      </c>
      <c r="B300">
        <v>32</v>
      </c>
      <c r="C300">
        <f>A300*B300</f>
        <v>32000</v>
      </c>
    </row>
    <row r="301" spans="1:3" ht="14.25" customHeight="1" x14ac:dyDescent="0.2">
      <c r="A301">
        <v>10000</v>
      </c>
      <c r="B301">
        <v>15</v>
      </c>
      <c r="C301">
        <f>A301*B301</f>
        <v>150000</v>
      </c>
    </row>
    <row r="302" spans="1:3" ht="14.25" customHeight="1" x14ac:dyDescent="0.2">
      <c r="A302">
        <v>20000</v>
      </c>
      <c r="B302">
        <v>1</v>
      </c>
      <c r="C302">
        <f>A302*B302</f>
        <v>20000</v>
      </c>
    </row>
    <row r="303" spans="1:3" ht="14.25" customHeight="1" x14ac:dyDescent="0.2">
      <c r="A303">
        <v>5000</v>
      </c>
      <c r="B303">
        <v>10</v>
      </c>
      <c r="C303">
        <f>A303*B303</f>
        <v>50000</v>
      </c>
    </row>
    <row r="304" spans="1:3" ht="14.25" customHeight="1" x14ac:dyDescent="0.2"/>
    <row r="305" spans="1:5" ht="14.25" customHeight="1" x14ac:dyDescent="0.2">
      <c r="C305">
        <f>SUM(C299:C303)</f>
        <v>446000</v>
      </c>
    </row>
    <row r="306" spans="1:5" ht="14.25" customHeight="1" x14ac:dyDescent="0.2">
      <c r="C306">
        <v>8507601</v>
      </c>
    </row>
    <row r="307" spans="1:5" ht="14.25" customHeight="1" x14ac:dyDescent="0.2">
      <c r="C307">
        <f>SUM(C305:C306)</f>
        <v>8953601</v>
      </c>
      <c r="D307">
        <v>8278600</v>
      </c>
      <c r="E307">
        <f>C307-D307</f>
        <v>675001</v>
      </c>
    </row>
    <row r="308" spans="1:5" ht="14.25" customHeight="1" x14ac:dyDescent="0.2"/>
    <row r="309" spans="1:5" ht="14.25" customHeight="1" x14ac:dyDescent="0.2">
      <c r="A309" s="85" t="s">
        <v>690</v>
      </c>
      <c r="B309" s="85"/>
      <c r="C309" s="85"/>
    </row>
    <row r="310" spans="1:5" ht="14.25" customHeight="1" x14ac:dyDescent="0.2">
      <c r="A310" s="48">
        <v>100000</v>
      </c>
      <c r="B310">
        <v>6</v>
      </c>
      <c r="C310" s="49">
        <f t="shared" ref="C310:C317" si="27">A310*B310</f>
        <v>600000</v>
      </c>
    </row>
    <row r="311" spans="1:5" ht="14.25" customHeight="1" x14ac:dyDescent="0.2">
      <c r="A311" s="48">
        <v>50000</v>
      </c>
      <c r="B311">
        <v>21</v>
      </c>
      <c r="C311" s="49">
        <f t="shared" si="27"/>
        <v>1050000</v>
      </c>
    </row>
    <row r="312" spans="1:5" ht="14.25" customHeight="1" x14ac:dyDescent="0.2">
      <c r="A312" s="48">
        <v>20000</v>
      </c>
      <c r="B312">
        <v>22</v>
      </c>
      <c r="C312" s="49">
        <f t="shared" si="27"/>
        <v>440000</v>
      </c>
    </row>
    <row r="313" spans="1:5" ht="14.25" customHeight="1" x14ac:dyDescent="0.2">
      <c r="A313" s="48">
        <v>10000</v>
      </c>
      <c r="B313">
        <v>72</v>
      </c>
      <c r="C313" s="49">
        <f t="shared" si="27"/>
        <v>720000</v>
      </c>
    </row>
    <row r="314" spans="1:5" ht="14.25" customHeight="1" x14ac:dyDescent="0.2">
      <c r="A314" s="48">
        <v>5000</v>
      </c>
      <c r="B314">
        <v>101</v>
      </c>
      <c r="C314" s="49">
        <f t="shared" si="27"/>
        <v>505000</v>
      </c>
    </row>
    <row r="315" spans="1:5" ht="14.25" customHeight="1" x14ac:dyDescent="0.2">
      <c r="A315" s="48">
        <v>2000</v>
      </c>
      <c r="B315" s="75">
        <v>83</v>
      </c>
      <c r="C315" s="49">
        <f t="shared" si="27"/>
        <v>166000</v>
      </c>
    </row>
    <row r="316" spans="1:5" ht="14.25" customHeight="1" x14ac:dyDescent="0.2">
      <c r="A316" s="48">
        <v>1000</v>
      </c>
      <c r="B316">
        <v>7</v>
      </c>
      <c r="C316" s="49">
        <f t="shared" si="27"/>
        <v>7000</v>
      </c>
    </row>
    <row r="317" spans="1:5" ht="14.25" customHeight="1" x14ac:dyDescent="0.2">
      <c r="A317" s="48">
        <v>500</v>
      </c>
      <c r="B317">
        <v>0</v>
      </c>
      <c r="C317" s="56">
        <f t="shared" si="27"/>
        <v>0</v>
      </c>
    </row>
    <row r="318" spans="1:5" ht="14.25" customHeight="1" x14ac:dyDescent="0.2">
      <c r="C318" s="55">
        <f>SUM(C310:C317)</f>
        <v>3488000</v>
      </c>
    </row>
    <row r="319" spans="1:5" ht="14.25" customHeight="1" x14ac:dyDescent="0.2"/>
    <row r="320" spans="1:5" ht="14.25" customHeight="1" x14ac:dyDescent="0.2"/>
    <row r="321" spans="1:5" ht="14.25" customHeight="1" x14ac:dyDescent="0.2">
      <c r="A321" s="85" t="s">
        <v>704</v>
      </c>
      <c r="B321" s="85"/>
      <c r="C321" s="85"/>
    </row>
    <row r="322" spans="1:5" ht="14.25" customHeight="1" x14ac:dyDescent="0.2">
      <c r="A322" s="48">
        <v>100000</v>
      </c>
      <c r="B322">
        <v>13</v>
      </c>
      <c r="C322" s="49">
        <f t="shared" ref="C322:C329" si="28">A322*B322</f>
        <v>1300000</v>
      </c>
    </row>
    <row r="323" spans="1:5" ht="14.25" customHeight="1" x14ac:dyDescent="0.2">
      <c r="A323" s="48">
        <v>50000</v>
      </c>
      <c r="B323">
        <v>0</v>
      </c>
      <c r="C323" s="49">
        <f t="shared" si="28"/>
        <v>0</v>
      </c>
    </row>
    <row r="324" spans="1:5" ht="14.25" customHeight="1" x14ac:dyDescent="0.2">
      <c r="A324" s="48">
        <v>20000</v>
      </c>
      <c r="B324">
        <v>0</v>
      </c>
      <c r="C324" s="49">
        <f t="shared" si="28"/>
        <v>0</v>
      </c>
    </row>
    <row r="325" spans="1:5" ht="14.25" customHeight="1" x14ac:dyDescent="0.2">
      <c r="A325" s="48">
        <v>10000</v>
      </c>
      <c r="B325">
        <v>0</v>
      </c>
      <c r="C325" s="49">
        <f t="shared" si="28"/>
        <v>0</v>
      </c>
    </row>
    <row r="326" spans="1:5" ht="14.25" customHeight="1" x14ac:dyDescent="0.2">
      <c r="A326" s="48">
        <v>5000</v>
      </c>
      <c r="B326">
        <v>114</v>
      </c>
      <c r="C326" s="49">
        <f t="shared" si="28"/>
        <v>570000</v>
      </c>
    </row>
    <row r="327" spans="1:5" ht="14.25" customHeight="1" x14ac:dyDescent="0.2">
      <c r="A327" s="48">
        <v>2000</v>
      </c>
      <c r="B327" s="75">
        <v>84</v>
      </c>
      <c r="C327" s="49">
        <f t="shared" si="28"/>
        <v>168000</v>
      </c>
    </row>
    <row r="328" spans="1:5" ht="14.25" customHeight="1" x14ac:dyDescent="0.2">
      <c r="A328" s="48">
        <v>1000</v>
      </c>
      <c r="B328">
        <v>48</v>
      </c>
      <c r="C328" s="49">
        <f t="shared" si="28"/>
        <v>48000</v>
      </c>
    </row>
    <row r="329" spans="1:5" ht="14.25" customHeight="1" x14ac:dyDescent="0.2">
      <c r="A329" s="48">
        <v>500</v>
      </c>
      <c r="B329">
        <v>58</v>
      </c>
      <c r="C329" s="56">
        <f t="shared" si="28"/>
        <v>29000</v>
      </c>
    </row>
    <row r="330" spans="1:5" ht="14.25" customHeight="1" x14ac:dyDescent="0.2">
      <c r="C330" s="55">
        <f>SUM(C322:C329)</f>
        <v>2115000</v>
      </c>
      <c r="D330">
        <v>800000</v>
      </c>
      <c r="E330" s="49"/>
    </row>
    <row r="331" spans="1:5" ht="14.25" customHeight="1" x14ac:dyDescent="0.2"/>
    <row r="332" spans="1:5" ht="14.25" customHeight="1" x14ac:dyDescent="0.2"/>
    <row r="333" spans="1:5" ht="14.25" customHeight="1" x14ac:dyDescent="0.2">
      <c r="A333" s="85" t="s">
        <v>707</v>
      </c>
      <c r="B333" s="85"/>
      <c r="C333" s="85"/>
    </row>
    <row r="334" spans="1:5" ht="14.25" customHeight="1" x14ac:dyDescent="0.2">
      <c r="A334" s="48">
        <v>100000</v>
      </c>
      <c r="B334">
        <v>7</v>
      </c>
      <c r="C334" s="49">
        <f t="shared" ref="C334:C341" si="29">A334*B334</f>
        <v>700000</v>
      </c>
    </row>
    <row r="335" spans="1:5" ht="14.25" customHeight="1" x14ac:dyDescent="0.2">
      <c r="A335" s="48">
        <v>50000</v>
      </c>
      <c r="B335">
        <v>28</v>
      </c>
      <c r="C335" s="49">
        <f t="shared" si="29"/>
        <v>1400000</v>
      </c>
    </row>
    <row r="336" spans="1:5" ht="14.25" customHeight="1" x14ac:dyDescent="0.2">
      <c r="A336" s="48">
        <v>20000</v>
      </c>
      <c r="B336">
        <v>9</v>
      </c>
      <c r="C336" s="49">
        <f t="shared" si="29"/>
        <v>180000</v>
      </c>
    </row>
    <row r="337" spans="1:3" ht="14.25" customHeight="1" x14ac:dyDescent="0.2">
      <c r="A337" s="48">
        <v>10000</v>
      </c>
      <c r="B337">
        <v>56</v>
      </c>
      <c r="C337" s="49">
        <f t="shared" si="29"/>
        <v>560000</v>
      </c>
    </row>
    <row r="338" spans="1:3" ht="14.25" customHeight="1" x14ac:dyDescent="0.2">
      <c r="A338" s="48">
        <v>5000</v>
      </c>
      <c r="B338">
        <v>146</v>
      </c>
      <c r="C338" s="49">
        <f t="shared" si="29"/>
        <v>730000</v>
      </c>
    </row>
    <row r="339" spans="1:3" ht="14.25" customHeight="1" x14ac:dyDescent="0.2">
      <c r="A339" s="48">
        <v>2000</v>
      </c>
      <c r="B339" s="75">
        <v>64</v>
      </c>
      <c r="C339" s="49">
        <f t="shared" si="29"/>
        <v>128000</v>
      </c>
    </row>
    <row r="340" spans="1:3" ht="14.25" customHeight="1" x14ac:dyDescent="0.2">
      <c r="A340" s="48">
        <v>1000</v>
      </c>
      <c r="B340">
        <v>14</v>
      </c>
      <c r="C340" s="49">
        <f t="shared" si="29"/>
        <v>14000</v>
      </c>
    </row>
    <row r="341" spans="1:3" ht="14.25" customHeight="1" x14ac:dyDescent="0.2">
      <c r="A341" s="48">
        <v>500</v>
      </c>
      <c r="B341">
        <v>0</v>
      </c>
      <c r="C341" s="56">
        <f t="shared" si="29"/>
        <v>0</v>
      </c>
    </row>
    <row r="342" spans="1:3" ht="14.25" customHeight="1" x14ac:dyDescent="0.2">
      <c r="C342" s="55">
        <f>SUM(C334:C341)</f>
        <v>3712000</v>
      </c>
    </row>
    <row r="343" spans="1:3" ht="14.25" customHeight="1" x14ac:dyDescent="0.2"/>
    <row r="344" spans="1:3" ht="14.25" customHeight="1" x14ac:dyDescent="0.2"/>
    <row r="345" spans="1:3" ht="14.25" customHeight="1" x14ac:dyDescent="0.2"/>
    <row r="346" spans="1:3" ht="14.25" customHeight="1" x14ac:dyDescent="0.2"/>
    <row r="347" spans="1:3" ht="14.25" customHeight="1" x14ac:dyDescent="0.2"/>
    <row r="348" spans="1:3" ht="14.25" customHeight="1" x14ac:dyDescent="0.2"/>
    <row r="349" spans="1:3" ht="14.25" customHeight="1" x14ac:dyDescent="0.2"/>
    <row r="350" spans="1:3" ht="14.25" customHeight="1" x14ac:dyDescent="0.2"/>
    <row r="351" spans="1:3" ht="14.25" customHeight="1" x14ac:dyDescent="0.2"/>
    <row r="352" spans="1:3" ht="14.25" customHeight="1" x14ac:dyDescent="0.2"/>
    <row r="353" ht="14.25" customHeight="1" x14ac:dyDescent="0.2"/>
    <row r="354" ht="14.25" customHeight="1" x14ac:dyDescent="0.2"/>
    <row r="355" ht="14.25" customHeight="1" x14ac:dyDescent="0.2"/>
    <row r="356" ht="14.25" customHeight="1" x14ac:dyDescent="0.2"/>
    <row r="357" ht="14.25" customHeight="1" x14ac:dyDescent="0.2"/>
    <row r="358" ht="14.25" customHeight="1" x14ac:dyDescent="0.2"/>
    <row r="359" ht="14.25" customHeight="1" x14ac:dyDescent="0.2"/>
    <row r="360" ht="14.25" customHeight="1" x14ac:dyDescent="0.2"/>
    <row r="361" ht="14.25" customHeight="1" x14ac:dyDescent="0.2"/>
    <row r="362" ht="14.25" customHeight="1" x14ac:dyDescent="0.2"/>
    <row r="363" ht="14.25" customHeight="1" x14ac:dyDescent="0.2"/>
    <row r="364" ht="14.25" customHeight="1" x14ac:dyDescent="0.2"/>
    <row r="365" ht="14.25" customHeight="1" x14ac:dyDescent="0.2"/>
    <row r="366" ht="14.25" customHeight="1" x14ac:dyDescent="0.2"/>
    <row r="367" ht="14.25" customHeight="1" x14ac:dyDescent="0.2"/>
    <row r="368" ht="14.25" customHeight="1" x14ac:dyDescent="0.2"/>
    <row r="369" ht="14.25" customHeight="1" x14ac:dyDescent="0.2"/>
    <row r="370" ht="14.25" customHeight="1" x14ac:dyDescent="0.2"/>
    <row r="371" ht="14.25" customHeight="1" x14ac:dyDescent="0.2"/>
    <row r="372" ht="14.25" customHeight="1" x14ac:dyDescent="0.2"/>
    <row r="373" ht="14.25" customHeight="1" x14ac:dyDescent="0.2"/>
    <row r="374" ht="14.25" customHeight="1" x14ac:dyDescent="0.2"/>
    <row r="375" ht="14.25" customHeight="1" x14ac:dyDescent="0.2"/>
    <row r="376" ht="14.25" customHeight="1" x14ac:dyDescent="0.2"/>
    <row r="377" ht="14.25" customHeight="1" x14ac:dyDescent="0.2"/>
    <row r="378" ht="14.25" customHeight="1" x14ac:dyDescent="0.2"/>
    <row r="379" ht="14.25" customHeight="1" x14ac:dyDescent="0.2"/>
    <row r="380" ht="14.25" customHeight="1" x14ac:dyDescent="0.2"/>
    <row r="381" ht="14.25" customHeight="1" x14ac:dyDescent="0.2"/>
    <row r="382" ht="14.25" customHeight="1" x14ac:dyDescent="0.2"/>
    <row r="383" ht="14.25" customHeight="1" x14ac:dyDescent="0.2"/>
    <row r="384" ht="14.25" customHeight="1" x14ac:dyDescent="0.2"/>
    <row r="385" ht="14.25" customHeight="1" x14ac:dyDescent="0.2"/>
    <row r="386" ht="14.25" customHeight="1" x14ac:dyDescent="0.2"/>
    <row r="387" ht="14.25" customHeight="1" x14ac:dyDescent="0.2"/>
    <row r="388" ht="14.25" customHeight="1" x14ac:dyDescent="0.2"/>
    <row r="389" ht="14.25" customHeight="1" x14ac:dyDescent="0.2"/>
    <row r="390" ht="14.25" customHeight="1" x14ac:dyDescent="0.2"/>
    <row r="391" ht="14.25" customHeight="1" x14ac:dyDescent="0.2"/>
    <row r="392" ht="14.25" customHeight="1" x14ac:dyDescent="0.2"/>
    <row r="393" ht="14.25" customHeight="1" x14ac:dyDescent="0.2"/>
    <row r="394" ht="14.25" customHeight="1" x14ac:dyDescent="0.2"/>
    <row r="395" ht="14.25" customHeight="1" x14ac:dyDescent="0.2"/>
    <row r="396" ht="14.25" customHeight="1" x14ac:dyDescent="0.2"/>
    <row r="397" ht="14.25" customHeight="1" x14ac:dyDescent="0.2"/>
    <row r="398" ht="14.25" customHeight="1" x14ac:dyDescent="0.2"/>
    <row r="399" ht="14.25" customHeight="1" x14ac:dyDescent="0.2"/>
    <row r="400" ht="14.25" customHeight="1" x14ac:dyDescent="0.2"/>
    <row r="401" ht="14.25" customHeight="1" x14ac:dyDescent="0.2"/>
    <row r="402" ht="14.25" customHeight="1" x14ac:dyDescent="0.2"/>
    <row r="403" ht="14.25" customHeight="1" x14ac:dyDescent="0.2"/>
    <row r="404" ht="14.25" customHeight="1" x14ac:dyDescent="0.2"/>
    <row r="405" ht="14.25" customHeight="1" x14ac:dyDescent="0.2"/>
    <row r="406" ht="14.25" customHeight="1" x14ac:dyDescent="0.2"/>
    <row r="407" ht="14.25" customHeight="1" x14ac:dyDescent="0.2"/>
    <row r="408" ht="14.25" customHeight="1" x14ac:dyDescent="0.2"/>
    <row r="409" ht="14.25" customHeight="1" x14ac:dyDescent="0.2"/>
    <row r="410" ht="14.25" customHeight="1" x14ac:dyDescent="0.2"/>
    <row r="411" ht="14.25" customHeight="1" x14ac:dyDescent="0.2"/>
    <row r="412" ht="14.25" customHeight="1" x14ac:dyDescent="0.2"/>
    <row r="413" ht="14.25" customHeight="1" x14ac:dyDescent="0.2"/>
    <row r="414" ht="14.25" customHeight="1" x14ac:dyDescent="0.2"/>
    <row r="415" ht="14.25" customHeight="1" x14ac:dyDescent="0.2"/>
    <row r="416" ht="14.25" customHeight="1" x14ac:dyDescent="0.2"/>
    <row r="417" ht="14.25" customHeight="1" x14ac:dyDescent="0.2"/>
    <row r="418" ht="14.25" customHeight="1" x14ac:dyDescent="0.2"/>
    <row r="419" ht="14.25" customHeight="1" x14ac:dyDescent="0.2"/>
    <row r="420" ht="14.25" customHeight="1" x14ac:dyDescent="0.2"/>
    <row r="421" ht="14.25" customHeight="1" x14ac:dyDescent="0.2"/>
    <row r="422" ht="14.25" customHeight="1" x14ac:dyDescent="0.2"/>
    <row r="423" ht="14.25" customHeight="1" x14ac:dyDescent="0.2"/>
    <row r="424" ht="14.25" customHeight="1" x14ac:dyDescent="0.2"/>
    <row r="425" ht="14.25" customHeight="1" x14ac:dyDescent="0.2"/>
    <row r="426" ht="14.25" customHeight="1" x14ac:dyDescent="0.2"/>
    <row r="427" ht="14.25" customHeight="1" x14ac:dyDescent="0.2"/>
    <row r="428" ht="14.25" customHeight="1" x14ac:dyDescent="0.2"/>
    <row r="429" ht="14.25" customHeight="1" x14ac:dyDescent="0.2"/>
    <row r="430" ht="14.25" customHeight="1" x14ac:dyDescent="0.2"/>
    <row r="431" ht="14.25" customHeight="1" x14ac:dyDescent="0.2"/>
    <row r="432" ht="14.25" customHeight="1" x14ac:dyDescent="0.2"/>
    <row r="433" ht="14.25" customHeight="1" x14ac:dyDescent="0.2"/>
    <row r="434" ht="14.25" customHeight="1" x14ac:dyDescent="0.2"/>
    <row r="435" ht="14.25" customHeight="1" x14ac:dyDescent="0.2"/>
    <row r="436" ht="14.25" customHeight="1" x14ac:dyDescent="0.2"/>
    <row r="437" ht="14.25" customHeight="1" x14ac:dyDescent="0.2"/>
    <row r="438" ht="14.25" customHeight="1" x14ac:dyDescent="0.2"/>
    <row r="439" ht="14.25" customHeight="1" x14ac:dyDescent="0.2"/>
    <row r="440" ht="14.25" customHeight="1" x14ac:dyDescent="0.2"/>
    <row r="441" ht="14.25" customHeight="1" x14ac:dyDescent="0.2"/>
    <row r="442" ht="14.25" customHeight="1" x14ac:dyDescent="0.2"/>
    <row r="443" ht="14.25" customHeight="1" x14ac:dyDescent="0.2"/>
    <row r="444" ht="14.25" customHeight="1" x14ac:dyDescent="0.2"/>
    <row r="445" ht="14.25" customHeight="1" x14ac:dyDescent="0.2"/>
    <row r="446" ht="14.25" customHeight="1" x14ac:dyDescent="0.2"/>
    <row r="447" ht="14.25" customHeight="1" x14ac:dyDescent="0.2"/>
    <row r="448" ht="14.25" customHeight="1" x14ac:dyDescent="0.2"/>
    <row r="449" ht="14.25" customHeight="1" x14ac:dyDescent="0.2"/>
    <row r="450" ht="14.25" customHeight="1" x14ac:dyDescent="0.2"/>
    <row r="451" ht="14.25" customHeight="1" x14ac:dyDescent="0.2"/>
    <row r="452" ht="14.25" customHeight="1" x14ac:dyDescent="0.2"/>
    <row r="453" ht="14.25" customHeight="1" x14ac:dyDescent="0.2"/>
    <row r="454" ht="14.25" customHeight="1" x14ac:dyDescent="0.2"/>
    <row r="455" ht="14.25" customHeight="1" x14ac:dyDescent="0.2"/>
    <row r="456" ht="14.25" customHeight="1" x14ac:dyDescent="0.2"/>
    <row r="457" ht="14.25" customHeight="1" x14ac:dyDescent="0.2"/>
    <row r="458" ht="14.25" customHeight="1" x14ac:dyDescent="0.2"/>
    <row r="459" ht="14.25" customHeight="1" x14ac:dyDescent="0.2"/>
    <row r="460" ht="14.25" customHeight="1" x14ac:dyDescent="0.2"/>
    <row r="461" ht="14.25" customHeight="1" x14ac:dyDescent="0.2"/>
    <row r="462" ht="14.25" customHeight="1" x14ac:dyDescent="0.2"/>
    <row r="463" ht="14.25" customHeight="1" x14ac:dyDescent="0.2"/>
    <row r="464" ht="14.25" customHeight="1" x14ac:dyDescent="0.2"/>
    <row r="465" ht="14.25" customHeight="1" x14ac:dyDescent="0.2"/>
    <row r="466" ht="14.25" customHeight="1" x14ac:dyDescent="0.2"/>
    <row r="467" ht="14.25" customHeight="1" x14ac:dyDescent="0.2"/>
    <row r="468" ht="14.25" customHeight="1" x14ac:dyDescent="0.2"/>
    <row r="469" ht="14.25" customHeight="1" x14ac:dyDescent="0.2"/>
    <row r="470" ht="14.25" customHeight="1" x14ac:dyDescent="0.2"/>
    <row r="471" ht="14.25" customHeight="1" x14ac:dyDescent="0.2"/>
    <row r="472" ht="14.25" customHeight="1" x14ac:dyDescent="0.2"/>
    <row r="473" ht="14.25" customHeight="1" x14ac:dyDescent="0.2"/>
    <row r="474" ht="14.25" customHeight="1" x14ac:dyDescent="0.2"/>
    <row r="475" ht="14.25" customHeight="1" x14ac:dyDescent="0.2"/>
    <row r="476" ht="14.25" customHeight="1" x14ac:dyDescent="0.2"/>
    <row r="477" ht="14.25" customHeight="1" x14ac:dyDescent="0.2"/>
    <row r="478" ht="14.25" customHeight="1" x14ac:dyDescent="0.2"/>
    <row r="479" ht="14.25" customHeight="1" x14ac:dyDescent="0.2"/>
    <row r="480" ht="14.25" customHeight="1" x14ac:dyDescent="0.2"/>
    <row r="481" ht="14.25" customHeight="1" x14ac:dyDescent="0.2"/>
    <row r="482" ht="14.25" customHeight="1" x14ac:dyDescent="0.2"/>
    <row r="483" ht="14.25" customHeight="1" x14ac:dyDescent="0.2"/>
    <row r="484" ht="14.25" customHeight="1" x14ac:dyDescent="0.2"/>
    <row r="485" ht="14.25" customHeight="1" x14ac:dyDescent="0.2"/>
    <row r="486" ht="14.25" customHeight="1" x14ac:dyDescent="0.2"/>
    <row r="487" ht="14.25" customHeight="1" x14ac:dyDescent="0.2"/>
    <row r="488" ht="14.25" customHeight="1" x14ac:dyDescent="0.2"/>
    <row r="489" ht="14.25" customHeight="1" x14ac:dyDescent="0.2"/>
    <row r="490" ht="14.25" customHeight="1" x14ac:dyDescent="0.2"/>
    <row r="491" ht="14.25" customHeight="1" x14ac:dyDescent="0.2"/>
    <row r="492" ht="14.25" customHeight="1" x14ac:dyDescent="0.2"/>
    <row r="493" ht="14.25" customHeight="1" x14ac:dyDescent="0.2"/>
    <row r="494" ht="14.25" customHeight="1" x14ac:dyDescent="0.2"/>
    <row r="495" ht="14.25" customHeight="1" x14ac:dyDescent="0.2"/>
    <row r="496" ht="14.25" customHeight="1" x14ac:dyDescent="0.2"/>
    <row r="497" ht="14.25" customHeight="1" x14ac:dyDescent="0.2"/>
    <row r="498" ht="14.25" customHeight="1" x14ac:dyDescent="0.2"/>
    <row r="499" ht="14.25" customHeight="1" x14ac:dyDescent="0.2"/>
    <row r="500" ht="14.25" customHeight="1" x14ac:dyDescent="0.2"/>
    <row r="501" ht="14.25" customHeight="1" x14ac:dyDescent="0.2"/>
    <row r="502" ht="14.25" customHeight="1" x14ac:dyDescent="0.2"/>
    <row r="503" ht="14.25" customHeight="1" x14ac:dyDescent="0.2"/>
    <row r="504" ht="14.25" customHeight="1" x14ac:dyDescent="0.2"/>
    <row r="505" ht="14.25" customHeight="1" x14ac:dyDescent="0.2"/>
    <row r="506" ht="14.25" customHeight="1" x14ac:dyDescent="0.2"/>
    <row r="507" ht="14.25" customHeight="1" x14ac:dyDescent="0.2"/>
    <row r="508" ht="14.25" customHeight="1" x14ac:dyDescent="0.2"/>
    <row r="509" ht="14.25" customHeight="1" x14ac:dyDescent="0.2"/>
    <row r="510" ht="14.25" customHeight="1" x14ac:dyDescent="0.2"/>
    <row r="511" ht="14.25" customHeight="1" x14ac:dyDescent="0.2"/>
    <row r="512" ht="14.25" customHeight="1" x14ac:dyDescent="0.2"/>
    <row r="513" ht="14.25" customHeight="1" x14ac:dyDescent="0.2"/>
    <row r="514" ht="14.25" customHeight="1" x14ac:dyDescent="0.2"/>
    <row r="515" ht="14.25" customHeight="1" x14ac:dyDescent="0.2"/>
    <row r="516" ht="14.25" customHeight="1" x14ac:dyDescent="0.2"/>
    <row r="517" ht="14.25" customHeight="1" x14ac:dyDescent="0.2"/>
    <row r="518" ht="14.25" customHeight="1" x14ac:dyDescent="0.2"/>
    <row r="519" ht="14.25" customHeight="1" x14ac:dyDescent="0.2"/>
    <row r="520" ht="14.25" customHeight="1" x14ac:dyDescent="0.2"/>
    <row r="521" ht="14.25" customHeight="1" x14ac:dyDescent="0.2"/>
    <row r="522" ht="14.25" customHeight="1" x14ac:dyDescent="0.2"/>
    <row r="523" ht="14.25" customHeight="1" x14ac:dyDescent="0.2"/>
    <row r="524" ht="14.25" customHeight="1" x14ac:dyDescent="0.2"/>
    <row r="525" ht="14.25" customHeight="1" x14ac:dyDescent="0.2"/>
    <row r="526" ht="14.25" customHeight="1" x14ac:dyDescent="0.2"/>
    <row r="527" ht="14.25" customHeight="1" x14ac:dyDescent="0.2"/>
    <row r="528" ht="14.25" customHeight="1" x14ac:dyDescent="0.2"/>
    <row r="529" ht="14.25" customHeight="1" x14ac:dyDescent="0.2"/>
    <row r="530" ht="14.25" customHeight="1" x14ac:dyDescent="0.2"/>
    <row r="531" ht="14.25" customHeight="1" x14ac:dyDescent="0.2"/>
    <row r="532" ht="14.25" customHeight="1" x14ac:dyDescent="0.2"/>
    <row r="533" ht="14.25" customHeight="1" x14ac:dyDescent="0.2"/>
    <row r="534" ht="14.25" customHeight="1" x14ac:dyDescent="0.2"/>
    <row r="535" ht="14.25" customHeight="1" x14ac:dyDescent="0.2"/>
    <row r="536" ht="14.25" customHeight="1" x14ac:dyDescent="0.2"/>
    <row r="537" ht="14.25" customHeight="1" x14ac:dyDescent="0.2"/>
    <row r="538" ht="14.25" customHeight="1" x14ac:dyDescent="0.2"/>
    <row r="539" ht="14.25" customHeight="1" x14ac:dyDescent="0.2"/>
    <row r="540" ht="14.25" customHeight="1" x14ac:dyDescent="0.2"/>
    <row r="541" ht="14.25" customHeight="1" x14ac:dyDescent="0.2"/>
    <row r="542" ht="14.25" customHeight="1" x14ac:dyDescent="0.2"/>
    <row r="543" ht="14.25" customHeight="1" x14ac:dyDescent="0.2"/>
    <row r="544" ht="14.25" customHeight="1" x14ac:dyDescent="0.2"/>
    <row r="545" ht="14.25" customHeight="1" x14ac:dyDescent="0.2"/>
    <row r="546" ht="14.25" customHeight="1" x14ac:dyDescent="0.2"/>
    <row r="547" ht="14.25" customHeight="1" x14ac:dyDescent="0.2"/>
    <row r="548" ht="14.25" customHeight="1" x14ac:dyDescent="0.2"/>
    <row r="549" ht="14.25" customHeight="1" x14ac:dyDescent="0.2"/>
    <row r="550" ht="14.25" customHeight="1" x14ac:dyDescent="0.2"/>
    <row r="551" ht="14.25" customHeight="1" x14ac:dyDescent="0.2"/>
    <row r="552" ht="14.25" customHeight="1" x14ac:dyDescent="0.2"/>
    <row r="553" ht="14.25" customHeight="1" x14ac:dyDescent="0.2"/>
    <row r="554" ht="14.25" customHeight="1" x14ac:dyDescent="0.2"/>
    <row r="555" ht="14.25" customHeight="1" x14ac:dyDescent="0.2"/>
    <row r="556" ht="14.25" customHeight="1" x14ac:dyDescent="0.2"/>
    <row r="557" ht="14.25" customHeight="1" x14ac:dyDescent="0.2"/>
    <row r="558" ht="14.25" customHeight="1" x14ac:dyDescent="0.2"/>
    <row r="559" ht="14.25" customHeight="1" x14ac:dyDescent="0.2"/>
    <row r="560" ht="14.25" customHeight="1" x14ac:dyDescent="0.2"/>
    <row r="561" ht="14.25" customHeight="1" x14ac:dyDescent="0.2"/>
    <row r="562" ht="14.25" customHeight="1" x14ac:dyDescent="0.2"/>
    <row r="563" ht="14.25" customHeight="1" x14ac:dyDescent="0.2"/>
    <row r="564" ht="14.25" customHeight="1" x14ac:dyDescent="0.2"/>
    <row r="565" ht="14.25" customHeight="1" x14ac:dyDescent="0.2"/>
    <row r="566" ht="14.25" customHeight="1" x14ac:dyDescent="0.2"/>
    <row r="567" ht="14.25" customHeight="1" x14ac:dyDescent="0.2"/>
    <row r="568" ht="14.25" customHeight="1" x14ac:dyDescent="0.2"/>
    <row r="569" ht="14.25" customHeight="1" x14ac:dyDescent="0.2"/>
    <row r="570" ht="14.25" customHeight="1" x14ac:dyDescent="0.2"/>
    <row r="571" ht="14.25" customHeight="1" x14ac:dyDescent="0.2"/>
    <row r="572" ht="14.25" customHeight="1" x14ac:dyDescent="0.2"/>
    <row r="573" ht="14.25" customHeight="1" x14ac:dyDescent="0.2"/>
    <row r="574" ht="14.25" customHeight="1" x14ac:dyDescent="0.2"/>
    <row r="575" ht="14.25" customHeight="1" x14ac:dyDescent="0.2"/>
    <row r="576" ht="14.25" customHeight="1" x14ac:dyDescent="0.2"/>
    <row r="577" ht="14.25" customHeight="1" x14ac:dyDescent="0.2"/>
    <row r="578" ht="14.25" customHeight="1" x14ac:dyDescent="0.2"/>
    <row r="579" ht="14.25" customHeight="1" x14ac:dyDescent="0.2"/>
    <row r="580" ht="14.25" customHeight="1" x14ac:dyDescent="0.2"/>
    <row r="581" ht="14.25" customHeight="1" x14ac:dyDescent="0.2"/>
    <row r="582" ht="14.25" customHeight="1" x14ac:dyDescent="0.2"/>
    <row r="583" ht="14.25" customHeight="1" x14ac:dyDescent="0.2"/>
    <row r="584" ht="14.25" customHeight="1" x14ac:dyDescent="0.2"/>
    <row r="585" ht="14.25" customHeight="1" x14ac:dyDescent="0.2"/>
    <row r="586" ht="14.25" customHeight="1" x14ac:dyDescent="0.2"/>
    <row r="587" ht="14.25" customHeight="1" x14ac:dyDescent="0.2"/>
    <row r="588" ht="14.25" customHeight="1" x14ac:dyDescent="0.2"/>
    <row r="589" ht="14.25" customHeight="1" x14ac:dyDescent="0.2"/>
    <row r="590" ht="14.25" customHeight="1" x14ac:dyDescent="0.2"/>
    <row r="591" ht="14.25" customHeight="1" x14ac:dyDescent="0.2"/>
    <row r="592" ht="14.25" customHeight="1" x14ac:dyDescent="0.2"/>
    <row r="593" ht="14.25" customHeight="1" x14ac:dyDescent="0.2"/>
    <row r="594" ht="14.25" customHeight="1" x14ac:dyDescent="0.2"/>
    <row r="595" ht="14.25" customHeight="1" x14ac:dyDescent="0.2"/>
    <row r="596" ht="14.25" customHeight="1" x14ac:dyDescent="0.2"/>
    <row r="597" ht="14.25" customHeight="1" x14ac:dyDescent="0.2"/>
    <row r="598" ht="14.25" customHeight="1" x14ac:dyDescent="0.2"/>
    <row r="599" ht="14.25" customHeight="1" x14ac:dyDescent="0.2"/>
    <row r="600" ht="14.25" customHeight="1" x14ac:dyDescent="0.2"/>
    <row r="601" ht="14.25" customHeight="1" x14ac:dyDescent="0.2"/>
    <row r="602" ht="14.25" customHeight="1" x14ac:dyDescent="0.2"/>
    <row r="603" ht="14.25" customHeight="1" x14ac:dyDescent="0.2"/>
    <row r="604" ht="14.25" customHeight="1" x14ac:dyDescent="0.2"/>
    <row r="605" ht="14.25" customHeight="1" x14ac:dyDescent="0.2"/>
    <row r="606" ht="14.25" customHeight="1" x14ac:dyDescent="0.2"/>
    <row r="607" ht="14.25" customHeight="1" x14ac:dyDescent="0.2"/>
    <row r="608" ht="14.25" customHeight="1" x14ac:dyDescent="0.2"/>
    <row r="609" ht="14.25" customHeight="1" x14ac:dyDescent="0.2"/>
    <row r="610" ht="14.25" customHeight="1" x14ac:dyDescent="0.2"/>
    <row r="611" ht="14.25" customHeight="1" x14ac:dyDescent="0.2"/>
    <row r="612" ht="14.25" customHeight="1" x14ac:dyDescent="0.2"/>
    <row r="613" ht="14.25" customHeight="1" x14ac:dyDescent="0.2"/>
    <row r="614" ht="14.25" customHeight="1" x14ac:dyDescent="0.2"/>
    <row r="615" ht="14.25" customHeight="1" x14ac:dyDescent="0.2"/>
    <row r="616" ht="14.25" customHeight="1" x14ac:dyDescent="0.2"/>
    <row r="617" ht="14.25" customHeight="1" x14ac:dyDescent="0.2"/>
    <row r="618" ht="14.25" customHeight="1" x14ac:dyDescent="0.2"/>
    <row r="619" ht="14.25" customHeight="1" x14ac:dyDescent="0.2"/>
    <row r="620" ht="14.25" customHeight="1" x14ac:dyDescent="0.2"/>
    <row r="621" ht="14.25" customHeight="1" x14ac:dyDescent="0.2"/>
    <row r="622" ht="14.25" customHeight="1" x14ac:dyDescent="0.2"/>
    <row r="623" ht="14.25" customHeight="1" x14ac:dyDescent="0.2"/>
    <row r="624" ht="14.25" customHeight="1" x14ac:dyDescent="0.2"/>
    <row r="625" ht="14.25" customHeight="1" x14ac:dyDescent="0.2"/>
    <row r="626" ht="14.25" customHeight="1" x14ac:dyDescent="0.2"/>
    <row r="627" ht="14.25" customHeight="1" x14ac:dyDescent="0.2"/>
    <row r="628" ht="14.25" customHeight="1" x14ac:dyDescent="0.2"/>
    <row r="629" ht="14.25" customHeight="1" x14ac:dyDescent="0.2"/>
    <row r="630" ht="14.25" customHeight="1" x14ac:dyDescent="0.2"/>
    <row r="631" ht="14.25" customHeight="1" x14ac:dyDescent="0.2"/>
    <row r="632" ht="14.25" customHeight="1" x14ac:dyDescent="0.2"/>
    <row r="633" ht="14.25" customHeight="1" x14ac:dyDescent="0.2"/>
    <row r="634" ht="14.25" customHeight="1" x14ac:dyDescent="0.2"/>
    <row r="635" ht="14.25" customHeight="1" x14ac:dyDescent="0.2"/>
    <row r="636" ht="14.25" customHeight="1" x14ac:dyDescent="0.2"/>
    <row r="637" ht="14.25" customHeight="1" x14ac:dyDescent="0.2"/>
    <row r="638" ht="14.25" customHeight="1" x14ac:dyDescent="0.2"/>
    <row r="639" ht="14.25" customHeight="1" x14ac:dyDescent="0.2"/>
    <row r="640" ht="14.25" customHeight="1" x14ac:dyDescent="0.2"/>
    <row r="641" ht="14.25" customHeight="1" x14ac:dyDescent="0.2"/>
    <row r="642" ht="14.25" customHeight="1" x14ac:dyDescent="0.2"/>
    <row r="643" ht="14.25" customHeight="1" x14ac:dyDescent="0.2"/>
    <row r="644" ht="14.25" customHeight="1" x14ac:dyDescent="0.2"/>
    <row r="645" ht="14.25" customHeight="1" x14ac:dyDescent="0.2"/>
    <row r="646" ht="14.25" customHeight="1" x14ac:dyDescent="0.2"/>
    <row r="647" ht="14.25" customHeight="1" x14ac:dyDescent="0.2"/>
    <row r="648" ht="14.25" customHeight="1" x14ac:dyDescent="0.2"/>
    <row r="649" ht="14.25" customHeight="1" x14ac:dyDescent="0.2"/>
    <row r="650" ht="14.25" customHeight="1" x14ac:dyDescent="0.2"/>
    <row r="651" ht="14.25" customHeight="1" x14ac:dyDescent="0.2"/>
    <row r="652" ht="14.25" customHeight="1" x14ac:dyDescent="0.2"/>
    <row r="653" ht="14.25" customHeight="1" x14ac:dyDescent="0.2"/>
    <row r="654" ht="14.25" customHeight="1" x14ac:dyDescent="0.2"/>
    <row r="655" ht="14.25" customHeight="1" x14ac:dyDescent="0.2"/>
    <row r="656" ht="14.25" customHeight="1" x14ac:dyDescent="0.2"/>
    <row r="657" ht="14.25" customHeight="1" x14ac:dyDescent="0.2"/>
    <row r="658" ht="14.25" customHeight="1" x14ac:dyDescent="0.2"/>
    <row r="659" ht="14.25" customHeight="1" x14ac:dyDescent="0.2"/>
    <row r="660" ht="14.25" customHeight="1" x14ac:dyDescent="0.2"/>
    <row r="661" ht="14.25" customHeight="1" x14ac:dyDescent="0.2"/>
    <row r="662" ht="14.25" customHeight="1" x14ac:dyDescent="0.2"/>
    <row r="663" ht="14.25" customHeight="1" x14ac:dyDescent="0.2"/>
    <row r="664" ht="14.25" customHeight="1" x14ac:dyDescent="0.2"/>
    <row r="665" ht="14.25" customHeight="1" x14ac:dyDescent="0.2"/>
    <row r="666" ht="14.25" customHeight="1" x14ac:dyDescent="0.2"/>
    <row r="667" ht="14.25" customHeight="1" x14ac:dyDescent="0.2"/>
    <row r="668" ht="14.25" customHeight="1" x14ac:dyDescent="0.2"/>
    <row r="669" ht="14.25" customHeight="1" x14ac:dyDescent="0.2"/>
    <row r="670" ht="14.25" customHeight="1" x14ac:dyDescent="0.2"/>
    <row r="671" ht="14.25" customHeight="1" x14ac:dyDescent="0.2"/>
    <row r="672" ht="14.25" customHeight="1" x14ac:dyDescent="0.2"/>
    <row r="673" ht="14.25" customHeight="1" x14ac:dyDescent="0.2"/>
    <row r="674" ht="14.25" customHeight="1" x14ac:dyDescent="0.2"/>
    <row r="675" ht="14.25" customHeight="1" x14ac:dyDescent="0.2"/>
    <row r="676" ht="14.25" customHeight="1" x14ac:dyDescent="0.2"/>
    <row r="677" ht="14.25" customHeight="1" x14ac:dyDescent="0.2"/>
    <row r="678" ht="14.25" customHeight="1" x14ac:dyDescent="0.2"/>
    <row r="679" ht="14.25" customHeight="1" x14ac:dyDescent="0.2"/>
    <row r="680" ht="14.25" customHeight="1" x14ac:dyDescent="0.2"/>
    <row r="681" ht="14.25" customHeight="1" x14ac:dyDescent="0.2"/>
    <row r="682" ht="14.25" customHeight="1" x14ac:dyDescent="0.2"/>
    <row r="683" ht="14.25" customHeight="1" x14ac:dyDescent="0.2"/>
    <row r="684" ht="14.25" customHeight="1" x14ac:dyDescent="0.2"/>
    <row r="685" ht="14.25" customHeight="1" x14ac:dyDescent="0.2"/>
    <row r="686" ht="14.25" customHeight="1" x14ac:dyDescent="0.2"/>
    <row r="687" ht="14.25" customHeight="1" x14ac:dyDescent="0.2"/>
    <row r="688" ht="14.25" customHeight="1" x14ac:dyDescent="0.2"/>
    <row r="689" ht="14.25" customHeight="1" x14ac:dyDescent="0.2"/>
    <row r="690" ht="14.25" customHeight="1" x14ac:dyDescent="0.2"/>
    <row r="691" ht="14.25" customHeight="1" x14ac:dyDescent="0.2"/>
    <row r="692" ht="14.25" customHeight="1" x14ac:dyDescent="0.2"/>
    <row r="693" ht="14.25" customHeight="1" x14ac:dyDescent="0.2"/>
    <row r="694" ht="14.25" customHeight="1" x14ac:dyDescent="0.2"/>
    <row r="695" ht="14.25" customHeight="1" x14ac:dyDescent="0.2"/>
    <row r="696" ht="14.25" customHeight="1" x14ac:dyDescent="0.2"/>
    <row r="697" ht="14.25" customHeight="1" x14ac:dyDescent="0.2"/>
    <row r="698" ht="14.25" customHeight="1" x14ac:dyDescent="0.2"/>
    <row r="699" ht="14.25" customHeight="1" x14ac:dyDescent="0.2"/>
    <row r="700" ht="14.25" customHeight="1" x14ac:dyDescent="0.2"/>
    <row r="701" ht="14.25" customHeight="1" x14ac:dyDescent="0.2"/>
    <row r="702" ht="14.25" customHeight="1" x14ac:dyDescent="0.2"/>
    <row r="703" ht="14.25" customHeight="1" x14ac:dyDescent="0.2"/>
    <row r="704" ht="14.25" customHeight="1" x14ac:dyDescent="0.2"/>
    <row r="705" ht="14.25" customHeight="1" x14ac:dyDescent="0.2"/>
    <row r="706" ht="14.25" customHeight="1" x14ac:dyDescent="0.2"/>
    <row r="707" ht="14.25" customHeight="1" x14ac:dyDescent="0.2"/>
    <row r="708" ht="14.25" customHeight="1" x14ac:dyDescent="0.2"/>
    <row r="709" ht="14.25" customHeight="1" x14ac:dyDescent="0.2"/>
    <row r="710" ht="14.25" customHeight="1" x14ac:dyDescent="0.2"/>
    <row r="711" ht="14.25" customHeight="1" x14ac:dyDescent="0.2"/>
    <row r="712" ht="14.25" customHeight="1" x14ac:dyDescent="0.2"/>
    <row r="713" ht="14.25" customHeight="1" x14ac:dyDescent="0.2"/>
    <row r="714" ht="14.25" customHeight="1" x14ac:dyDescent="0.2"/>
    <row r="715" ht="14.25" customHeight="1" x14ac:dyDescent="0.2"/>
    <row r="716" ht="14.25" customHeight="1" x14ac:dyDescent="0.2"/>
    <row r="717" ht="14.25" customHeight="1" x14ac:dyDescent="0.2"/>
    <row r="718" ht="14.25" customHeight="1" x14ac:dyDescent="0.2"/>
    <row r="719" ht="14.25" customHeight="1" x14ac:dyDescent="0.2"/>
    <row r="720" ht="14.25" customHeight="1" x14ac:dyDescent="0.2"/>
    <row r="721" ht="14.25" customHeight="1" x14ac:dyDescent="0.2"/>
    <row r="722" ht="14.25" customHeight="1" x14ac:dyDescent="0.2"/>
    <row r="723" ht="14.25" customHeight="1" x14ac:dyDescent="0.2"/>
    <row r="724" ht="14.25" customHeight="1" x14ac:dyDescent="0.2"/>
    <row r="725" ht="14.25" customHeight="1" x14ac:dyDescent="0.2"/>
    <row r="726" ht="14.25" customHeight="1" x14ac:dyDescent="0.2"/>
    <row r="727" ht="14.25" customHeight="1" x14ac:dyDescent="0.2"/>
    <row r="728" ht="14.25" customHeight="1" x14ac:dyDescent="0.2"/>
    <row r="729" ht="14.25" customHeight="1" x14ac:dyDescent="0.2"/>
    <row r="730" ht="14.25" customHeight="1" x14ac:dyDescent="0.2"/>
    <row r="731" ht="14.25" customHeight="1" x14ac:dyDescent="0.2"/>
    <row r="732" ht="14.25" customHeight="1" x14ac:dyDescent="0.2"/>
    <row r="733" ht="14.25" customHeight="1" x14ac:dyDescent="0.2"/>
    <row r="734" ht="14.25" customHeight="1" x14ac:dyDescent="0.2"/>
    <row r="735" ht="14.25" customHeight="1" x14ac:dyDescent="0.2"/>
    <row r="736" ht="14.25" customHeight="1" x14ac:dyDescent="0.2"/>
    <row r="737" ht="14.25" customHeight="1" x14ac:dyDescent="0.2"/>
    <row r="738" ht="14.25" customHeight="1" x14ac:dyDescent="0.2"/>
    <row r="739" ht="14.25" customHeight="1" x14ac:dyDescent="0.2"/>
    <row r="740" ht="14.25" customHeight="1" x14ac:dyDescent="0.2"/>
    <row r="741" ht="14.25" customHeight="1" x14ac:dyDescent="0.2"/>
    <row r="742" ht="14.25" customHeight="1" x14ac:dyDescent="0.2"/>
    <row r="743" ht="14.25" customHeight="1" x14ac:dyDescent="0.2"/>
    <row r="744" ht="14.25" customHeight="1" x14ac:dyDescent="0.2"/>
    <row r="745" ht="14.25" customHeight="1" x14ac:dyDescent="0.2"/>
    <row r="746" ht="14.25" customHeight="1" x14ac:dyDescent="0.2"/>
    <row r="747" ht="14.25" customHeight="1" x14ac:dyDescent="0.2"/>
    <row r="748" ht="14.25" customHeight="1" x14ac:dyDescent="0.2"/>
    <row r="749" ht="14.25" customHeight="1" x14ac:dyDescent="0.2"/>
    <row r="750" ht="14.25" customHeight="1" x14ac:dyDescent="0.2"/>
    <row r="751" ht="14.25" customHeight="1" x14ac:dyDescent="0.2"/>
    <row r="752" ht="14.25" customHeight="1" x14ac:dyDescent="0.2"/>
    <row r="753" ht="14.25" customHeight="1" x14ac:dyDescent="0.2"/>
    <row r="754" ht="14.25" customHeight="1" x14ac:dyDescent="0.2"/>
    <row r="755" ht="14.25" customHeight="1" x14ac:dyDescent="0.2"/>
    <row r="756" ht="14.25" customHeight="1" x14ac:dyDescent="0.2"/>
    <row r="757" ht="14.25" customHeight="1" x14ac:dyDescent="0.2"/>
    <row r="758" ht="14.25" customHeight="1" x14ac:dyDescent="0.2"/>
    <row r="759" ht="14.25" customHeight="1" x14ac:dyDescent="0.2"/>
    <row r="760" ht="14.25" customHeight="1" x14ac:dyDescent="0.2"/>
    <row r="761" ht="14.25" customHeight="1" x14ac:dyDescent="0.2"/>
    <row r="762" ht="14.25" customHeight="1" x14ac:dyDescent="0.2"/>
    <row r="763" ht="14.25" customHeight="1" x14ac:dyDescent="0.2"/>
    <row r="764" ht="14.25" customHeight="1" x14ac:dyDescent="0.2"/>
    <row r="765" ht="14.25" customHeight="1" x14ac:dyDescent="0.2"/>
    <row r="766" ht="14.25" customHeight="1" x14ac:dyDescent="0.2"/>
    <row r="767" ht="14.25" customHeight="1" x14ac:dyDescent="0.2"/>
    <row r="768" ht="14.25" customHeight="1" x14ac:dyDescent="0.2"/>
    <row r="769" ht="14.25" customHeight="1" x14ac:dyDescent="0.2"/>
    <row r="770" ht="14.25" customHeight="1" x14ac:dyDescent="0.2"/>
    <row r="771" ht="14.25" customHeight="1" x14ac:dyDescent="0.2"/>
    <row r="772" ht="14.25" customHeight="1" x14ac:dyDescent="0.2"/>
    <row r="773" ht="14.25" customHeight="1" x14ac:dyDescent="0.2"/>
    <row r="774" ht="14.25" customHeight="1" x14ac:dyDescent="0.2"/>
    <row r="775" ht="14.25" customHeight="1" x14ac:dyDescent="0.2"/>
    <row r="776" ht="14.25" customHeight="1" x14ac:dyDescent="0.2"/>
    <row r="777" ht="14.25" customHeight="1" x14ac:dyDescent="0.2"/>
    <row r="778" ht="14.25" customHeight="1" x14ac:dyDescent="0.2"/>
    <row r="779" ht="14.25" customHeight="1" x14ac:dyDescent="0.2"/>
    <row r="780" ht="14.25" customHeight="1" x14ac:dyDescent="0.2"/>
    <row r="781" ht="14.25" customHeight="1" x14ac:dyDescent="0.2"/>
    <row r="782" ht="14.25" customHeight="1" x14ac:dyDescent="0.2"/>
    <row r="783" ht="14.25" customHeight="1" x14ac:dyDescent="0.2"/>
    <row r="784" ht="14.25" customHeight="1" x14ac:dyDescent="0.2"/>
    <row r="785" ht="14.25" customHeight="1" x14ac:dyDescent="0.2"/>
    <row r="786" ht="14.25" customHeight="1" x14ac:dyDescent="0.2"/>
    <row r="787" ht="14.25" customHeight="1" x14ac:dyDescent="0.2"/>
    <row r="788" ht="14.25" customHeight="1" x14ac:dyDescent="0.2"/>
    <row r="789" ht="14.25" customHeight="1" x14ac:dyDescent="0.2"/>
    <row r="790" ht="14.25" customHeight="1" x14ac:dyDescent="0.2"/>
    <row r="791" ht="14.25" customHeight="1" x14ac:dyDescent="0.2"/>
    <row r="792" ht="14.25" customHeight="1" x14ac:dyDescent="0.2"/>
    <row r="793" ht="14.25" customHeight="1" x14ac:dyDescent="0.2"/>
    <row r="794" ht="14.25" customHeight="1" x14ac:dyDescent="0.2"/>
    <row r="795" ht="14.25" customHeight="1" x14ac:dyDescent="0.2"/>
    <row r="796" ht="14.25" customHeight="1" x14ac:dyDescent="0.2"/>
    <row r="797" ht="14.25" customHeight="1" x14ac:dyDescent="0.2"/>
    <row r="798" ht="14.25" customHeight="1" x14ac:dyDescent="0.2"/>
    <row r="799" ht="14.25" customHeight="1" x14ac:dyDescent="0.2"/>
    <row r="800" ht="14.25" customHeight="1" x14ac:dyDescent="0.2"/>
    <row r="801" ht="14.25" customHeight="1" x14ac:dyDescent="0.2"/>
    <row r="802" ht="14.25" customHeight="1" x14ac:dyDescent="0.2"/>
    <row r="803" ht="14.25" customHeight="1" x14ac:dyDescent="0.2"/>
    <row r="804" ht="14.25" customHeight="1" x14ac:dyDescent="0.2"/>
    <row r="805" ht="14.25" customHeight="1" x14ac:dyDescent="0.2"/>
    <row r="806" ht="14.25" customHeight="1" x14ac:dyDescent="0.2"/>
    <row r="807" ht="14.25" customHeight="1" x14ac:dyDescent="0.2"/>
    <row r="808" ht="14.25" customHeight="1" x14ac:dyDescent="0.2"/>
    <row r="809" ht="14.25" customHeight="1" x14ac:dyDescent="0.2"/>
    <row r="810" ht="14.25" customHeight="1" x14ac:dyDescent="0.2"/>
    <row r="811" ht="14.25" customHeight="1" x14ac:dyDescent="0.2"/>
    <row r="812" ht="14.25" customHeight="1" x14ac:dyDescent="0.2"/>
    <row r="813" ht="14.25" customHeight="1" x14ac:dyDescent="0.2"/>
    <row r="814" ht="14.25" customHeight="1" x14ac:dyDescent="0.2"/>
    <row r="815" ht="14.25" customHeight="1" x14ac:dyDescent="0.2"/>
    <row r="816" ht="14.25" customHeight="1" x14ac:dyDescent="0.2"/>
    <row r="817" ht="14.25" customHeight="1" x14ac:dyDescent="0.2"/>
    <row r="818" ht="14.25" customHeight="1" x14ac:dyDescent="0.2"/>
    <row r="819" ht="14.25" customHeight="1" x14ac:dyDescent="0.2"/>
    <row r="820" ht="14.25" customHeight="1" x14ac:dyDescent="0.2"/>
    <row r="821" ht="14.25" customHeight="1" x14ac:dyDescent="0.2"/>
    <row r="822" ht="14.25" customHeight="1" x14ac:dyDescent="0.2"/>
    <row r="823" ht="14.25" customHeight="1" x14ac:dyDescent="0.2"/>
    <row r="824" ht="14.25" customHeight="1" x14ac:dyDescent="0.2"/>
    <row r="825" ht="14.25" customHeight="1" x14ac:dyDescent="0.2"/>
    <row r="826" ht="14.25" customHeight="1" x14ac:dyDescent="0.2"/>
    <row r="827" ht="14.25" customHeight="1" x14ac:dyDescent="0.2"/>
    <row r="828" ht="14.25" customHeight="1" x14ac:dyDescent="0.2"/>
    <row r="829" ht="14.25" customHeight="1" x14ac:dyDescent="0.2"/>
    <row r="830" ht="14.25" customHeight="1" x14ac:dyDescent="0.2"/>
    <row r="831" ht="14.25" customHeight="1" x14ac:dyDescent="0.2"/>
    <row r="832" ht="14.25" customHeight="1" x14ac:dyDescent="0.2"/>
    <row r="833" ht="14.25" customHeight="1" x14ac:dyDescent="0.2"/>
    <row r="834" ht="14.25" customHeight="1" x14ac:dyDescent="0.2"/>
    <row r="835" ht="14.25" customHeight="1" x14ac:dyDescent="0.2"/>
    <row r="836" ht="14.25" customHeight="1" x14ac:dyDescent="0.2"/>
    <row r="837" ht="14.25" customHeight="1" x14ac:dyDescent="0.2"/>
    <row r="838" ht="14.25" customHeight="1" x14ac:dyDescent="0.2"/>
    <row r="839" ht="14.25" customHeight="1" x14ac:dyDescent="0.2"/>
    <row r="840" ht="14.25" customHeight="1" x14ac:dyDescent="0.2"/>
    <row r="841" ht="14.25" customHeight="1" x14ac:dyDescent="0.2"/>
    <row r="842" ht="14.25" customHeight="1" x14ac:dyDescent="0.2"/>
    <row r="843" ht="14.25" customHeight="1" x14ac:dyDescent="0.2"/>
    <row r="844" ht="14.25" customHeight="1" x14ac:dyDescent="0.2"/>
    <row r="845" ht="14.25" customHeight="1" x14ac:dyDescent="0.2"/>
    <row r="846" ht="14.25" customHeight="1" x14ac:dyDescent="0.2"/>
    <row r="847" ht="14.25" customHeight="1" x14ac:dyDescent="0.2"/>
    <row r="848" ht="14.25" customHeight="1" x14ac:dyDescent="0.2"/>
    <row r="849" ht="14.25" customHeight="1" x14ac:dyDescent="0.2"/>
    <row r="850" ht="14.25" customHeight="1" x14ac:dyDescent="0.2"/>
    <row r="851" ht="14.25" customHeight="1" x14ac:dyDescent="0.2"/>
    <row r="852" ht="14.25" customHeight="1" x14ac:dyDescent="0.2"/>
    <row r="853" ht="14.25" customHeight="1" x14ac:dyDescent="0.2"/>
    <row r="854" ht="14.25" customHeight="1" x14ac:dyDescent="0.2"/>
    <row r="855" ht="14.25" customHeight="1" x14ac:dyDescent="0.2"/>
    <row r="856" ht="14.25" customHeight="1" x14ac:dyDescent="0.2"/>
    <row r="857" ht="14.25" customHeight="1" x14ac:dyDescent="0.2"/>
    <row r="858" ht="14.25" customHeight="1" x14ac:dyDescent="0.2"/>
    <row r="859" ht="14.25" customHeight="1" x14ac:dyDescent="0.2"/>
    <row r="860" ht="14.25" customHeight="1" x14ac:dyDescent="0.2"/>
    <row r="861" ht="14.25" customHeight="1" x14ac:dyDescent="0.2"/>
    <row r="862" ht="14.25" customHeight="1" x14ac:dyDescent="0.2"/>
    <row r="863" ht="14.25" customHeight="1" x14ac:dyDescent="0.2"/>
    <row r="864" ht="14.25" customHeight="1" x14ac:dyDescent="0.2"/>
    <row r="865" ht="14.25" customHeight="1" x14ac:dyDescent="0.2"/>
    <row r="866" ht="14.25" customHeight="1" x14ac:dyDescent="0.2"/>
    <row r="867" ht="14.25" customHeight="1" x14ac:dyDescent="0.2"/>
    <row r="868" ht="14.25" customHeight="1" x14ac:dyDescent="0.2"/>
    <row r="869" ht="14.25" customHeight="1" x14ac:dyDescent="0.2"/>
    <row r="870" ht="14.25" customHeight="1" x14ac:dyDescent="0.2"/>
    <row r="871" ht="14.25" customHeight="1" x14ac:dyDescent="0.2"/>
    <row r="872" ht="14.25" customHeight="1" x14ac:dyDescent="0.2"/>
    <row r="873" ht="14.25" customHeight="1" x14ac:dyDescent="0.2"/>
    <row r="874" ht="14.25" customHeight="1" x14ac:dyDescent="0.2"/>
    <row r="875" ht="14.25" customHeight="1" x14ac:dyDescent="0.2"/>
    <row r="876" ht="14.25" customHeight="1" x14ac:dyDescent="0.2"/>
    <row r="877" ht="14.25" customHeight="1" x14ac:dyDescent="0.2"/>
    <row r="878" ht="14.25" customHeight="1" x14ac:dyDescent="0.2"/>
    <row r="879" ht="14.25" customHeight="1" x14ac:dyDescent="0.2"/>
    <row r="880" ht="14.25" customHeight="1" x14ac:dyDescent="0.2"/>
    <row r="881" ht="14.25" customHeight="1" x14ac:dyDescent="0.2"/>
    <row r="882" ht="14.25" customHeight="1" x14ac:dyDescent="0.2"/>
    <row r="883" ht="14.25" customHeight="1" x14ac:dyDescent="0.2"/>
    <row r="884" ht="14.25" customHeight="1" x14ac:dyDescent="0.2"/>
    <row r="885" ht="14.25" customHeight="1" x14ac:dyDescent="0.2"/>
    <row r="886" ht="14.25" customHeight="1" x14ac:dyDescent="0.2"/>
    <row r="887" ht="14.25" customHeight="1" x14ac:dyDescent="0.2"/>
    <row r="888" ht="14.25" customHeight="1" x14ac:dyDescent="0.2"/>
    <row r="889" ht="14.25" customHeight="1" x14ac:dyDescent="0.2"/>
    <row r="890" ht="14.25" customHeight="1" x14ac:dyDescent="0.2"/>
    <row r="891" ht="14.25" customHeight="1" x14ac:dyDescent="0.2"/>
    <row r="892" ht="14.25" customHeight="1" x14ac:dyDescent="0.2"/>
    <row r="893" ht="14.25" customHeight="1" x14ac:dyDescent="0.2"/>
    <row r="894" ht="14.25" customHeight="1" x14ac:dyDescent="0.2"/>
    <row r="895" ht="14.25" customHeight="1" x14ac:dyDescent="0.2"/>
    <row r="896" ht="14.25" customHeight="1" x14ac:dyDescent="0.2"/>
    <row r="897" ht="14.25" customHeight="1" x14ac:dyDescent="0.2"/>
    <row r="898" ht="14.25" customHeight="1" x14ac:dyDescent="0.2"/>
    <row r="899" ht="14.25" customHeight="1" x14ac:dyDescent="0.2"/>
    <row r="900" ht="14.25" customHeight="1" x14ac:dyDescent="0.2"/>
    <row r="901" ht="14.25" customHeight="1" x14ac:dyDescent="0.2"/>
    <row r="902" ht="14.25" customHeight="1" x14ac:dyDescent="0.2"/>
    <row r="903" ht="14.25" customHeight="1" x14ac:dyDescent="0.2"/>
    <row r="904" ht="14.25" customHeight="1" x14ac:dyDescent="0.2"/>
    <row r="905" ht="14.25" customHeight="1" x14ac:dyDescent="0.2"/>
    <row r="906" ht="14.25" customHeight="1" x14ac:dyDescent="0.2"/>
    <row r="907" ht="14.25" customHeight="1" x14ac:dyDescent="0.2"/>
    <row r="908" ht="14.25" customHeight="1" x14ac:dyDescent="0.2"/>
    <row r="909" ht="14.25" customHeight="1" x14ac:dyDescent="0.2"/>
    <row r="910" ht="14.25" customHeight="1" x14ac:dyDescent="0.2"/>
    <row r="911" ht="14.25" customHeight="1" x14ac:dyDescent="0.2"/>
    <row r="912" ht="14.25" customHeight="1" x14ac:dyDescent="0.2"/>
    <row r="913" ht="14.25" customHeight="1" x14ac:dyDescent="0.2"/>
    <row r="914" ht="14.25" customHeight="1" x14ac:dyDescent="0.2"/>
    <row r="915" ht="14.25" customHeight="1" x14ac:dyDescent="0.2"/>
    <row r="916" ht="14.25" customHeight="1" x14ac:dyDescent="0.2"/>
    <row r="917" ht="14.25" customHeight="1" x14ac:dyDescent="0.2"/>
    <row r="918" ht="14.25" customHeight="1" x14ac:dyDescent="0.2"/>
    <row r="919" ht="14.25" customHeight="1" x14ac:dyDescent="0.2"/>
    <row r="920" ht="14.25" customHeight="1" x14ac:dyDescent="0.2"/>
    <row r="921" ht="14.25" customHeight="1" x14ac:dyDescent="0.2"/>
    <row r="922" ht="14.25" customHeight="1" x14ac:dyDescent="0.2"/>
    <row r="923" ht="14.25" customHeight="1" x14ac:dyDescent="0.2"/>
    <row r="924" ht="14.25" customHeight="1" x14ac:dyDescent="0.2"/>
    <row r="925" ht="14.25" customHeight="1" x14ac:dyDescent="0.2"/>
    <row r="926" ht="14.25" customHeight="1" x14ac:dyDescent="0.2"/>
    <row r="927" ht="14.25" customHeight="1" x14ac:dyDescent="0.2"/>
    <row r="928" ht="14.25" customHeight="1" x14ac:dyDescent="0.2"/>
    <row r="929" ht="14.25" customHeight="1" x14ac:dyDescent="0.2"/>
    <row r="930" ht="14.25" customHeight="1" x14ac:dyDescent="0.2"/>
    <row r="931" ht="14.25" customHeight="1" x14ac:dyDescent="0.2"/>
    <row r="932" ht="14.25" customHeight="1" x14ac:dyDescent="0.2"/>
    <row r="933" ht="14.25" customHeight="1" x14ac:dyDescent="0.2"/>
    <row r="934" ht="14.25" customHeight="1" x14ac:dyDescent="0.2"/>
    <row r="935" ht="14.25" customHeight="1" x14ac:dyDescent="0.2"/>
    <row r="936" ht="14.25" customHeight="1" x14ac:dyDescent="0.2"/>
    <row r="937" ht="14.25" customHeight="1" x14ac:dyDescent="0.2"/>
    <row r="938" ht="14.25" customHeight="1" x14ac:dyDescent="0.2"/>
    <row r="939" ht="14.25" customHeight="1" x14ac:dyDescent="0.2"/>
    <row r="940" ht="14.25" customHeight="1" x14ac:dyDescent="0.2"/>
    <row r="941" ht="14.25" customHeight="1" x14ac:dyDescent="0.2"/>
    <row r="942" ht="14.25" customHeight="1" x14ac:dyDescent="0.2"/>
    <row r="943" ht="14.25" customHeight="1" x14ac:dyDescent="0.2"/>
    <row r="944" ht="14.25" customHeight="1" x14ac:dyDescent="0.2"/>
    <row r="945" ht="14.25" customHeight="1" x14ac:dyDescent="0.2"/>
    <row r="946" ht="14.25" customHeight="1" x14ac:dyDescent="0.2"/>
    <row r="947" ht="14.25" customHeight="1" x14ac:dyDescent="0.2"/>
    <row r="948" ht="14.25" customHeight="1" x14ac:dyDescent="0.2"/>
    <row r="949" ht="14.25" customHeight="1" x14ac:dyDescent="0.2"/>
    <row r="950" ht="14.25" customHeight="1" x14ac:dyDescent="0.2"/>
    <row r="951" ht="14.25" customHeight="1" x14ac:dyDescent="0.2"/>
    <row r="952" ht="14.25" customHeight="1" x14ac:dyDescent="0.2"/>
    <row r="953" ht="14.25" customHeight="1" x14ac:dyDescent="0.2"/>
    <row r="954" ht="14.25" customHeight="1" x14ac:dyDescent="0.2"/>
    <row r="955" ht="14.25" customHeight="1" x14ac:dyDescent="0.2"/>
    <row r="956" ht="14.25" customHeight="1" x14ac:dyDescent="0.2"/>
    <row r="957" ht="14.25" customHeight="1" x14ac:dyDescent="0.2"/>
    <row r="958" ht="14.25" customHeight="1" x14ac:dyDescent="0.2"/>
    <row r="959" ht="14.25" customHeight="1" x14ac:dyDescent="0.2"/>
    <row r="960" ht="14.25" customHeight="1" x14ac:dyDescent="0.2"/>
    <row r="961" ht="14.25" customHeight="1" x14ac:dyDescent="0.2"/>
    <row r="962" ht="14.25" customHeight="1" x14ac:dyDescent="0.2"/>
    <row r="963" ht="14.25" customHeight="1" x14ac:dyDescent="0.2"/>
    <row r="964" ht="14.25" customHeight="1" x14ac:dyDescent="0.2"/>
    <row r="965" ht="14.25" customHeight="1" x14ac:dyDescent="0.2"/>
    <row r="966" ht="14.25" customHeight="1" x14ac:dyDescent="0.2"/>
    <row r="967" ht="14.25" customHeight="1" x14ac:dyDescent="0.2"/>
    <row r="968" ht="14.25" customHeight="1" x14ac:dyDescent="0.2"/>
    <row r="969" ht="14.25" customHeight="1" x14ac:dyDescent="0.2"/>
    <row r="970" ht="14.25" customHeight="1" x14ac:dyDescent="0.2"/>
    <row r="971" ht="14.25" customHeight="1" x14ac:dyDescent="0.2"/>
    <row r="972" ht="14.25" customHeight="1" x14ac:dyDescent="0.2"/>
    <row r="973" ht="14.25" customHeight="1" x14ac:dyDescent="0.2"/>
    <row r="974" ht="14.25" customHeight="1" x14ac:dyDescent="0.2"/>
    <row r="975" ht="14.25" customHeight="1" x14ac:dyDescent="0.2"/>
    <row r="976" ht="14.25" customHeight="1" x14ac:dyDescent="0.2"/>
    <row r="977" ht="14.25" customHeight="1" x14ac:dyDescent="0.2"/>
    <row r="978" ht="14.25" customHeight="1" x14ac:dyDescent="0.2"/>
    <row r="979" ht="14.25" customHeight="1" x14ac:dyDescent="0.2"/>
    <row r="980" ht="14.25" customHeight="1" x14ac:dyDescent="0.2"/>
    <row r="981" ht="14.25" customHeight="1" x14ac:dyDescent="0.2"/>
    <row r="982" ht="14.25" customHeight="1" x14ac:dyDescent="0.2"/>
    <row r="983" ht="14.25" customHeight="1" x14ac:dyDescent="0.2"/>
    <row r="984" ht="14.25" customHeight="1" x14ac:dyDescent="0.2"/>
    <row r="985" ht="14.25" customHeight="1" x14ac:dyDescent="0.2"/>
    <row r="986" ht="14.25" customHeight="1" x14ac:dyDescent="0.2"/>
    <row r="987" ht="14.25" customHeight="1" x14ac:dyDescent="0.2"/>
    <row r="988" ht="14.25" customHeight="1" x14ac:dyDescent="0.2"/>
    <row r="989" ht="14.25" customHeight="1" x14ac:dyDescent="0.2"/>
    <row r="990" ht="14.25" customHeight="1" x14ac:dyDescent="0.2"/>
    <row r="991" ht="14.25" customHeight="1" x14ac:dyDescent="0.2"/>
    <row r="992" ht="14.25" customHeight="1" x14ac:dyDescent="0.2"/>
    <row r="993" ht="14.25" customHeight="1" x14ac:dyDescent="0.2"/>
    <row r="994" ht="14.25" customHeight="1" x14ac:dyDescent="0.2"/>
    <row r="995" ht="14.25" customHeight="1" x14ac:dyDescent="0.2"/>
    <row r="996" ht="14.25" customHeight="1" x14ac:dyDescent="0.2"/>
    <row r="997" ht="14.25" customHeight="1" x14ac:dyDescent="0.2"/>
    <row r="998" ht="14.25" customHeight="1" x14ac:dyDescent="0.2"/>
    <row r="999" ht="14.25" customHeight="1" x14ac:dyDescent="0.2"/>
    <row r="1000" ht="14.25" customHeight="1" x14ac:dyDescent="0.2"/>
  </sheetData>
  <mergeCells count="30">
    <mergeCell ref="A333:C333"/>
    <mergeCell ref="A173:C173"/>
    <mergeCell ref="A151:C151"/>
    <mergeCell ref="A162:C162"/>
    <mergeCell ref="A129:C129"/>
    <mergeCell ref="A140:C140"/>
    <mergeCell ref="A321:C321"/>
    <mergeCell ref="A263:C263"/>
    <mergeCell ref="A184:C184"/>
    <mergeCell ref="A195:C195"/>
    <mergeCell ref="A251:C251"/>
    <mergeCell ref="A240:C240"/>
    <mergeCell ref="A217:C217"/>
    <mergeCell ref="A206:C206"/>
    <mergeCell ref="A309:C309"/>
    <mergeCell ref="A286:C286"/>
    <mergeCell ref="A275:C275"/>
    <mergeCell ref="A228:C228"/>
    <mergeCell ref="A1:C1"/>
    <mergeCell ref="A18:C18"/>
    <mergeCell ref="A23:C23"/>
    <mergeCell ref="A33:C33"/>
    <mergeCell ref="A42:C42"/>
    <mergeCell ref="A73:C73"/>
    <mergeCell ref="A52:C52"/>
    <mergeCell ref="A62:C62"/>
    <mergeCell ref="A107:C107"/>
    <mergeCell ref="A118:C118"/>
    <mergeCell ref="A96:C96"/>
    <mergeCell ref="A85:C85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957"/>
  <sheetViews>
    <sheetView workbookViewId="0">
      <selection activeCell="F24" sqref="F24"/>
    </sheetView>
  </sheetViews>
  <sheetFormatPr baseColWidth="10" defaultColWidth="14.5" defaultRowHeight="15" customHeight="1" x14ac:dyDescent="0.2"/>
  <cols>
    <col min="1" max="1" width="8" customWidth="1"/>
    <col min="2" max="2" width="11.6640625" bestFit="1" customWidth="1"/>
    <col min="3" max="3" width="58.33203125" customWidth="1"/>
    <col min="4" max="4" width="16.1640625" customWidth="1"/>
    <col min="5" max="5" width="18.5" customWidth="1"/>
    <col min="6" max="6" width="17.83203125" bestFit="1" customWidth="1"/>
    <col min="7" max="7" width="21.33203125" customWidth="1"/>
    <col min="8" max="9" width="8" customWidth="1"/>
    <col min="10" max="10" width="13.6640625" customWidth="1"/>
    <col min="11" max="26" width="8" customWidth="1"/>
  </cols>
  <sheetData>
    <row r="1" spans="1:7" ht="14.25" customHeight="1" x14ac:dyDescent="0.2">
      <c r="A1" s="92" t="s">
        <v>676</v>
      </c>
      <c r="B1" s="93"/>
      <c r="C1" s="93"/>
      <c r="D1" s="93"/>
      <c r="E1" s="93"/>
      <c r="F1" s="93"/>
      <c r="G1" s="94"/>
    </row>
    <row r="2" spans="1:7" ht="14.25" customHeight="1" x14ac:dyDescent="0.2">
      <c r="A2" s="95"/>
      <c r="B2" s="96"/>
      <c r="C2" s="96"/>
      <c r="D2" s="96"/>
      <c r="E2" s="96"/>
      <c r="F2" s="96"/>
      <c r="G2" s="97"/>
    </row>
    <row r="3" spans="1:7" ht="14.25" customHeight="1" x14ac:dyDescent="0.2">
      <c r="E3" s="50"/>
    </row>
    <row r="4" spans="1:7" ht="14.25" customHeight="1" x14ac:dyDescent="0.2">
      <c r="A4" s="51" t="s">
        <v>491</v>
      </c>
      <c r="B4" s="51" t="s">
        <v>492</v>
      </c>
      <c r="C4" s="51" t="s">
        <v>497</v>
      </c>
      <c r="D4" s="52" t="s">
        <v>495</v>
      </c>
      <c r="E4" s="53" t="s">
        <v>496</v>
      </c>
      <c r="F4" s="52" t="s">
        <v>493</v>
      </c>
      <c r="G4" s="51" t="s">
        <v>494</v>
      </c>
    </row>
    <row r="5" spans="1:7" ht="14.25" customHeight="1" x14ac:dyDescent="0.2">
      <c r="A5" s="19">
        <v>1</v>
      </c>
      <c r="B5" s="61">
        <v>45899</v>
      </c>
      <c r="C5" s="36" t="s">
        <v>706</v>
      </c>
      <c r="D5" s="32">
        <v>8278600</v>
      </c>
      <c r="E5" s="37"/>
      <c r="F5" s="32">
        <f>D5</f>
        <v>8278600</v>
      </c>
      <c r="G5" s="54"/>
    </row>
    <row r="6" spans="1:7" ht="14" customHeight="1" x14ac:dyDescent="0.2">
      <c r="A6" s="19">
        <v>613</v>
      </c>
      <c r="B6" s="68">
        <v>46118</v>
      </c>
      <c r="C6" s="36" t="s">
        <v>688</v>
      </c>
      <c r="D6" s="37">
        <v>675000</v>
      </c>
      <c r="E6" s="37"/>
      <c r="F6" s="79">
        <f t="shared" ref="F6:F22" si="0">F5+D6-E6</f>
        <v>8953600</v>
      </c>
      <c r="G6" s="54"/>
    </row>
    <row r="7" spans="1:7" ht="14.25" customHeight="1" x14ac:dyDescent="0.2">
      <c r="A7" s="19">
        <v>614</v>
      </c>
      <c r="B7" s="68">
        <v>46119</v>
      </c>
      <c r="C7" s="36" t="s">
        <v>689</v>
      </c>
      <c r="D7" s="37">
        <v>3488000</v>
      </c>
      <c r="E7" s="37"/>
      <c r="F7" s="79">
        <f t="shared" si="0"/>
        <v>12441600</v>
      </c>
      <c r="G7" s="54"/>
    </row>
    <row r="8" spans="1:7" ht="14.25" customHeight="1" x14ac:dyDescent="0.2">
      <c r="A8" s="19">
        <v>615</v>
      </c>
      <c r="B8" s="68">
        <v>46125</v>
      </c>
      <c r="C8" s="36" t="s">
        <v>691</v>
      </c>
      <c r="D8" s="37">
        <v>50000</v>
      </c>
      <c r="E8" s="37"/>
      <c r="F8" s="79">
        <f t="shared" si="0"/>
        <v>12491600</v>
      </c>
      <c r="G8" s="54"/>
    </row>
    <row r="9" spans="1:7" ht="14.25" customHeight="1" x14ac:dyDescent="0.2">
      <c r="A9" s="19">
        <v>616</v>
      </c>
      <c r="B9" s="68">
        <v>46133</v>
      </c>
      <c r="C9" s="36" t="s">
        <v>692</v>
      </c>
      <c r="D9" s="37"/>
      <c r="E9" s="37">
        <v>1500000</v>
      </c>
      <c r="F9" s="79">
        <f t="shared" si="0"/>
        <v>10991600</v>
      </c>
      <c r="G9" s="54"/>
    </row>
    <row r="10" spans="1:7" ht="14.25" customHeight="1" x14ac:dyDescent="0.2">
      <c r="A10" s="19">
        <v>617</v>
      </c>
      <c r="B10" s="68">
        <v>46133</v>
      </c>
      <c r="C10" s="36" t="s">
        <v>693</v>
      </c>
      <c r="D10" s="37"/>
      <c r="E10" s="37">
        <v>300000</v>
      </c>
      <c r="F10" s="79">
        <f t="shared" si="0"/>
        <v>10691600</v>
      </c>
      <c r="G10" s="54"/>
    </row>
    <row r="11" spans="1:7" ht="14.25" customHeight="1" x14ac:dyDescent="0.2">
      <c r="A11" s="19">
        <v>618</v>
      </c>
      <c r="B11" s="68">
        <v>46137</v>
      </c>
      <c r="C11" s="36" t="s">
        <v>426</v>
      </c>
      <c r="D11" s="37"/>
      <c r="E11" s="37">
        <v>500000</v>
      </c>
      <c r="F11" s="79">
        <f t="shared" si="0"/>
        <v>10191600</v>
      </c>
      <c r="G11" s="54"/>
    </row>
    <row r="12" spans="1:7" ht="16" x14ac:dyDescent="0.2">
      <c r="A12" s="19">
        <v>619</v>
      </c>
      <c r="B12" s="68">
        <v>46137</v>
      </c>
      <c r="C12" s="36" t="s">
        <v>694</v>
      </c>
      <c r="D12" s="37"/>
      <c r="E12" s="37">
        <v>600000</v>
      </c>
      <c r="F12" s="79">
        <f t="shared" si="0"/>
        <v>9591600</v>
      </c>
      <c r="G12" s="54"/>
    </row>
    <row r="13" spans="1:7" ht="16" x14ac:dyDescent="0.2">
      <c r="A13" s="19">
        <v>620</v>
      </c>
      <c r="B13" s="68">
        <v>46138</v>
      </c>
      <c r="C13" s="36" t="s">
        <v>698</v>
      </c>
      <c r="D13" s="37">
        <v>500000</v>
      </c>
      <c r="E13" s="37"/>
      <c r="F13" s="79">
        <f t="shared" si="0"/>
        <v>10091600</v>
      </c>
      <c r="G13" s="54"/>
    </row>
    <row r="14" spans="1:7" ht="14.25" customHeight="1" x14ac:dyDescent="0.2">
      <c r="A14" s="19">
        <v>621</v>
      </c>
      <c r="B14" s="68">
        <v>46141</v>
      </c>
      <c r="C14" s="36" t="s">
        <v>695</v>
      </c>
      <c r="D14" s="37"/>
      <c r="E14" s="37">
        <v>800000</v>
      </c>
      <c r="F14" s="79">
        <f t="shared" si="0"/>
        <v>9291600</v>
      </c>
      <c r="G14" s="54"/>
    </row>
    <row r="15" spans="1:7" ht="16" x14ac:dyDescent="0.2">
      <c r="A15" s="19">
        <v>622</v>
      </c>
      <c r="B15" s="68">
        <v>46144</v>
      </c>
      <c r="C15" s="36" t="s">
        <v>696</v>
      </c>
      <c r="D15" s="37"/>
      <c r="E15" s="37">
        <v>500000</v>
      </c>
      <c r="F15" s="79">
        <f t="shared" si="0"/>
        <v>8791600</v>
      </c>
      <c r="G15" s="54"/>
    </row>
    <row r="16" spans="1:7" ht="16" x14ac:dyDescent="0.2">
      <c r="A16" s="19">
        <v>623</v>
      </c>
      <c r="B16" s="68">
        <v>46151</v>
      </c>
      <c r="C16" s="36" t="s">
        <v>426</v>
      </c>
      <c r="D16" s="37"/>
      <c r="E16" s="37">
        <v>500000</v>
      </c>
      <c r="F16" s="79">
        <f t="shared" si="0"/>
        <v>8291600</v>
      </c>
      <c r="G16" s="54"/>
    </row>
    <row r="17" spans="1:7" ht="16" x14ac:dyDescent="0.2">
      <c r="A17" s="19">
        <v>624</v>
      </c>
      <c r="B17" s="68">
        <v>46168</v>
      </c>
      <c r="C17" s="36" t="s">
        <v>699</v>
      </c>
      <c r="D17" s="37"/>
      <c r="E17" s="37">
        <v>600000</v>
      </c>
      <c r="F17" s="79">
        <f t="shared" si="0"/>
        <v>7691600</v>
      </c>
      <c r="G17" s="54"/>
    </row>
    <row r="18" spans="1:7" ht="14.25" customHeight="1" x14ac:dyDescent="0.2">
      <c r="A18" s="19">
        <v>625</v>
      </c>
      <c r="B18" s="68">
        <v>46171</v>
      </c>
      <c r="C18" s="36" t="s">
        <v>700</v>
      </c>
      <c r="D18" s="37">
        <v>500000</v>
      </c>
      <c r="E18" s="37"/>
      <c r="F18" s="79">
        <f t="shared" si="0"/>
        <v>8191600</v>
      </c>
      <c r="G18" s="54"/>
    </row>
    <row r="19" spans="1:7" ht="16" x14ac:dyDescent="0.2">
      <c r="A19" s="19">
        <v>626</v>
      </c>
      <c r="B19" s="68">
        <v>46172</v>
      </c>
      <c r="C19" s="36" t="s">
        <v>701</v>
      </c>
      <c r="D19" s="37"/>
      <c r="E19" s="37">
        <v>300000</v>
      </c>
      <c r="F19" s="79">
        <f t="shared" si="0"/>
        <v>7891600</v>
      </c>
      <c r="G19" s="54"/>
    </row>
    <row r="20" spans="1:7" ht="16" x14ac:dyDescent="0.2">
      <c r="A20" s="19">
        <v>627</v>
      </c>
      <c r="B20" s="68">
        <v>46172</v>
      </c>
      <c r="C20" s="83" t="s">
        <v>702</v>
      </c>
      <c r="D20" s="37"/>
      <c r="E20" s="37">
        <v>800000</v>
      </c>
      <c r="F20" s="79">
        <f t="shared" si="0"/>
        <v>7091600</v>
      </c>
      <c r="G20" s="54"/>
    </row>
    <row r="21" spans="1:7" ht="16" x14ac:dyDescent="0.2">
      <c r="A21" s="19">
        <v>628</v>
      </c>
      <c r="B21" s="68">
        <v>46173</v>
      </c>
      <c r="C21" s="36" t="s">
        <v>703</v>
      </c>
      <c r="D21" s="37">
        <v>2115000</v>
      </c>
      <c r="E21" s="37"/>
      <c r="F21" s="79">
        <f t="shared" si="0"/>
        <v>9206600</v>
      </c>
      <c r="G21" s="54"/>
    </row>
    <row r="22" spans="1:7" ht="16" x14ac:dyDescent="0.2">
      <c r="A22" s="19">
        <v>629</v>
      </c>
      <c r="B22" s="68">
        <v>46173</v>
      </c>
      <c r="C22" s="36" t="s">
        <v>705</v>
      </c>
      <c r="D22" s="37">
        <v>4658001</v>
      </c>
      <c r="E22" s="37"/>
      <c r="F22" s="79">
        <f t="shared" si="0"/>
        <v>13864601</v>
      </c>
      <c r="G22" s="54"/>
    </row>
    <row r="23" spans="1:7" ht="16" x14ac:dyDescent="0.2">
      <c r="A23" s="19">
        <v>560</v>
      </c>
      <c r="B23" s="82"/>
      <c r="C23" s="36"/>
      <c r="D23" s="37"/>
      <c r="E23" s="37"/>
      <c r="F23" s="79"/>
      <c r="G23" s="35"/>
    </row>
    <row r="24" spans="1:7" ht="21" x14ac:dyDescent="0.25">
      <c r="A24" s="98" t="s">
        <v>679</v>
      </c>
      <c r="B24" s="98"/>
      <c r="C24" s="98"/>
      <c r="D24" s="98"/>
      <c r="E24" s="98"/>
      <c r="F24" s="84">
        <f>F22</f>
        <v>13864601</v>
      </c>
    </row>
    <row r="25" spans="1:7" x14ac:dyDescent="0.2"/>
    <row r="26" spans="1:7" x14ac:dyDescent="0.2"/>
    <row r="27" spans="1:7" x14ac:dyDescent="0.2"/>
    <row r="28" spans="1:7" ht="14.25" customHeight="1" x14ac:dyDescent="0.2"/>
    <row r="29" spans="1:7" ht="14.25" customHeight="1" x14ac:dyDescent="0.2"/>
    <row r="30" spans="1:7" x14ac:dyDescent="0.2"/>
    <row r="31" spans="1:7" x14ac:dyDescent="0.2"/>
    <row r="32" spans="1:7" ht="14.25" customHeight="1" x14ac:dyDescent="0.2"/>
    <row r="33" ht="14.25" customHeight="1" x14ac:dyDescent="0.2"/>
    <row r="34" ht="14.25" customHeight="1" x14ac:dyDescent="0.2"/>
    <row r="35" ht="27" customHeight="1" x14ac:dyDescent="0.2"/>
    <row r="36" ht="14.25" customHeight="1" x14ac:dyDescent="0.2"/>
    <row r="37" ht="14.25" customHeight="1" x14ac:dyDescent="0.2"/>
    <row r="38" ht="14.25" customHeight="1" x14ac:dyDescent="0.2"/>
    <row r="39" ht="14.25" customHeight="1" x14ac:dyDescent="0.2"/>
    <row r="40" ht="14.25" customHeight="1" x14ac:dyDescent="0.2"/>
    <row r="41" ht="14.25" customHeight="1" x14ac:dyDescent="0.2"/>
    <row r="42" ht="14.25" customHeight="1" x14ac:dyDescent="0.2"/>
    <row r="43" ht="14.25" customHeight="1" x14ac:dyDescent="0.2"/>
    <row r="44" ht="14.25" customHeight="1" x14ac:dyDescent="0.2"/>
    <row r="45" ht="14.25" customHeight="1" x14ac:dyDescent="0.2"/>
    <row r="46" ht="14.25" customHeight="1" x14ac:dyDescent="0.2"/>
    <row r="47" ht="14.25" customHeight="1" x14ac:dyDescent="0.2"/>
    <row r="48" ht="14.25" customHeight="1" x14ac:dyDescent="0.2"/>
    <row r="49" ht="14.25" customHeight="1" x14ac:dyDescent="0.2"/>
    <row r="50" ht="14.25" customHeight="1" x14ac:dyDescent="0.2"/>
    <row r="51" ht="14.25" customHeight="1" x14ac:dyDescent="0.2"/>
    <row r="52" ht="14.25" customHeight="1" x14ac:dyDescent="0.2"/>
    <row r="53" ht="14.25" customHeight="1" x14ac:dyDescent="0.2"/>
    <row r="54" ht="14.25" customHeight="1" x14ac:dyDescent="0.2"/>
    <row r="55" ht="14.25" customHeight="1" x14ac:dyDescent="0.2"/>
    <row r="56" ht="14.25" customHeight="1" x14ac:dyDescent="0.2"/>
    <row r="57" ht="14.25" customHeight="1" x14ac:dyDescent="0.2"/>
    <row r="58" ht="14.25" customHeight="1" x14ac:dyDescent="0.2"/>
    <row r="59" ht="14.25" customHeight="1" x14ac:dyDescent="0.2"/>
    <row r="60" ht="14.25" customHeight="1" x14ac:dyDescent="0.2"/>
    <row r="61" ht="14.25" customHeight="1" x14ac:dyDescent="0.2"/>
    <row r="62" ht="14.25" customHeight="1" x14ac:dyDescent="0.2"/>
    <row r="63" ht="14.25" customHeight="1" x14ac:dyDescent="0.2"/>
    <row r="64" ht="14.25" customHeight="1" x14ac:dyDescent="0.2"/>
    <row r="65" ht="14.25" customHeight="1" x14ac:dyDescent="0.2"/>
    <row r="66" ht="14.25" customHeight="1" x14ac:dyDescent="0.2"/>
    <row r="67" ht="14.25" customHeight="1" x14ac:dyDescent="0.2"/>
    <row r="68" ht="14.25" customHeight="1" x14ac:dyDescent="0.2"/>
    <row r="69" ht="14.25" customHeight="1" x14ac:dyDescent="0.2"/>
    <row r="70" ht="14.25" customHeight="1" x14ac:dyDescent="0.2"/>
    <row r="71" ht="14.25" customHeight="1" x14ac:dyDescent="0.2"/>
    <row r="72" ht="14.25" customHeight="1" x14ac:dyDescent="0.2"/>
    <row r="73" ht="14.25" customHeight="1" x14ac:dyDescent="0.2"/>
    <row r="74" ht="14.25" customHeight="1" x14ac:dyDescent="0.2"/>
    <row r="75" ht="14.25" customHeight="1" x14ac:dyDescent="0.2"/>
    <row r="76" ht="14.25" customHeight="1" x14ac:dyDescent="0.2"/>
    <row r="77" ht="14.25" customHeight="1" x14ac:dyDescent="0.2"/>
    <row r="78" ht="14.25" customHeight="1" x14ac:dyDescent="0.2"/>
    <row r="79" ht="14.25" customHeight="1" x14ac:dyDescent="0.2"/>
    <row r="80" ht="14.25" customHeight="1" x14ac:dyDescent="0.2"/>
    <row r="81" ht="14.25" customHeight="1" x14ac:dyDescent="0.2"/>
    <row r="82" ht="14.25" customHeight="1" x14ac:dyDescent="0.2"/>
    <row r="83" ht="14.25" customHeight="1" x14ac:dyDescent="0.2"/>
    <row r="84" ht="14.25" customHeight="1" x14ac:dyDescent="0.2"/>
    <row r="85" ht="14.25" customHeight="1" x14ac:dyDescent="0.2"/>
    <row r="86" ht="14.25" customHeight="1" x14ac:dyDescent="0.2"/>
    <row r="87" ht="14.25" customHeight="1" x14ac:dyDescent="0.2"/>
    <row r="88" ht="14.25" customHeight="1" x14ac:dyDescent="0.2"/>
    <row r="89" ht="14.25" customHeight="1" x14ac:dyDescent="0.2"/>
    <row r="90" ht="14.25" customHeight="1" x14ac:dyDescent="0.2"/>
    <row r="91" ht="14.25" customHeight="1" x14ac:dyDescent="0.2"/>
    <row r="92" ht="14.25" customHeight="1" x14ac:dyDescent="0.2"/>
    <row r="93" ht="14.25" customHeight="1" x14ac:dyDescent="0.2"/>
    <row r="94" ht="14.25" customHeight="1" x14ac:dyDescent="0.2"/>
    <row r="95" ht="14.25" customHeight="1" x14ac:dyDescent="0.2"/>
    <row r="96" ht="14.25" customHeight="1" x14ac:dyDescent="0.2"/>
    <row r="97" ht="14.25" customHeight="1" x14ac:dyDescent="0.2"/>
    <row r="98" ht="14.25" customHeight="1" x14ac:dyDescent="0.2"/>
    <row r="99" ht="14.25" customHeight="1" x14ac:dyDescent="0.2"/>
    <row r="100" ht="14.25" customHeight="1" x14ac:dyDescent="0.2"/>
    <row r="101" ht="14.25" customHeight="1" x14ac:dyDescent="0.2"/>
    <row r="102" ht="14.25" customHeight="1" x14ac:dyDescent="0.2"/>
    <row r="103" ht="14.25" customHeight="1" x14ac:dyDescent="0.2"/>
    <row r="104" ht="14.25" customHeight="1" x14ac:dyDescent="0.2"/>
    <row r="105" ht="14.25" customHeight="1" x14ac:dyDescent="0.2"/>
    <row r="106" ht="14.25" customHeight="1" x14ac:dyDescent="0.2"/>
    <row r="107" ht="14.25" customHeight="1" x14ac:dyDescent="0.2"/>
    <row r="108" ht="14.25" customHeight="1" x14ac:dyDescent="0.2"/>
    <row r="109" ht="14.25" customHeight="1" x14ac:dyDescent="0.2"/>
    <row r="110" ht="14.25" customHeight="1" x14ac:dyDescent="0.2"/>
    <row r="111" ht="14.25" customHeight="1" x14ac:dyDescent="0.2"/>
    <row r="112" ht="14.25" customHeight="1" x14ac:dyDescent="0.2"/>
    <row r="113" ht="14.25" customHeight="1" x14ac:dyDescent="0.2"/>
    <row r="114" ht="14.25" customHeight="1" x14ac:dyDescent="0.2"/>
    <row r="115" ht="14.25" customHeight="1" x14ac:dyDescent="0.2"/>
    <row r="116" ht="14.25" customHeight="1" x14ac:dyDescent="0.2"/>
    <row r="117" ht="14.25" customHeight="1" x14ac:dyDescent="0.2"/>
    <row r="118" ht="14.25" customHeight="1" x14ac:dyDescent="0.2"/>
    <row r="119" ht="14.25" customHeight="1" x14ac:dyDescent="0.2"/>
    <row r="120" ht="14.25" customHeight="1" x14ac:dyDescent="0.2"/>
    <row r="121" ht="14.25" customHeight="1" x14ac:dyDescent="0.2"/>
    <row r="122" ht="14.25" customHeight="1" x14ac:dyDescent="0.2"/>
    <row r="123" ht="14.25" customHeight="1" x14ac:dyDescent="0.2"/>
    <row r="124" ht="14.25" customHeight="1" x14ac:dyDescent="0.2"/>
    <row r="125" ht="14.25" customHeight="1" x14ac:dyDescent="0.2"/>
    <row r="126" ht="14.25" customHeight="1" x14ac:dyDescent="0.2"/>
    <row r="127" ht="14.25" customHeight="1" x14ac:dyDescent="0.2"/>
    <row r="128" ht="14.25" customHeight="1" x14ac:dyDescent="0.2"/>
    <row r="129" ht="14.25" customHeight="1" x14ac:dyDescent="0.2"/>
    <row r="130" ht="14.25" customHeight="1" x14ac:dyDescent="0.2"/>
    <row r="131" ht="14.25" customHeight="1" x14ac:dyDescent="0.2"/>
    <row r="132" ht="14.25" customHeight="1" x14ac:dyDescent="0.2"/>
    <row r="133" ht="14.25" customHeight="1" x14ac:dyDescent="0.2"/>
    <row r="134" ht="14.25" customHeight="1" x14ac:dyDescent="0.2"/>
    <row r="135" ht="14.25" customHeight="1" x14ac:dyDescent="0.2"/>
    <row r="136" ht="14.25" customHeight="1" x14ac:dyDescent="0.2"/>
    <row r="137" ht="14.25" customHeight="1" x14ac:dyDescent="0.2"/>
    <row r="138" ht="14.25" customHeight="1" x14ac:dyDescent="0.2"/>
    <row r="139" ht="14.25" customHeight="1" x14ac:dyDescent="0.2"/>
    <row r="140" ht="14.25" customHeight="1" x14ac:dyDescent="0.2"/>
    <row r="141" ht="14.25" customHeight="1" x14ac:dyDescent="0.2"/>
    <row r="142" ht="14.25" customHeight="1" x14ac:dyDescent="0.2"/>
    <row r="143" ht="14.25" customHeight="1" x14ac:dyDescent="0.2"/>
    <row r="144" ht="14.25" customHeight="1" x14ac:dyDescent="0.2"/>
    <row r="145" ht="14.25" customHeight="1" x14ac:dyDescent="0.2"/>
    <row r="146" ht="14.25" customHeight="1" x14ac:dyDescent="0.2"/>
    <row r="147" ht="14.25" customHeight="1" x14ac:dyDescent="0.2"/>
    <row r="148" ht="14.25" customHeight="1" x14ac:dyDescent="0.2"/>
    <row r="149" ht="14.25" customHeight="1" x14ac:dyDescent="0.2"/>
    <row r="150" ht="14.25" customHeight="1" x14ac:dyDescent="0.2"/>
    <row r="151" ht="14.25" customHeight="1" x14ac:dyDescent="0.2"/>
    <row r="152" ht="14.25" customHeight="1" x14ac:dyDescent="0.2"/>
    <row r="153" ht="14.25" customHeight="1" x14ac:dyDescent="0.2"/>
    <row r="154" ht="14.25" customHeight="1" x14ac:dyDescent="0.2"/>
    <row r="155" ht="14.25" customHeight="1" x14ac:dyDescent="0.2"/>
    <row r="156" ht="14.25" customHeight="1" x14ac:dyDescent="0.2"/>
    <row r="157" ht="14.25" customHeight="1" x14ac:dyDescent="0.2"/>
    <row r="158" ht="14.25" customHeight="1" x14ac:dyDescent="0.2"/>
    <row r="159" ht="14.25" customHeight="1" x14ac:dyDescent="0.2"/>
    <row r="160" ht="14.25" customHeight="1" x14ac:dyDescent="0.2"/>
    <row r="161" ht="14.25" customHeight="1" x14ac:dyDescent="0.2"/>
    <row r="162" ht="14.25" customHeight="1" x14ac:dyDescent="0.2"/>
    <row r="163" ht="14.25" customHeight="1" x14ac:dyDescent="0.2"/>
    <row r="164" ht="14.25" customHeight="1" x14ac:dyDescent="0.2"/>
    <row r="165" ht="14.25" customHeight="1" x14ac:dyDescent="0.2"/>
    <row r="166" ht="14.25" customHeight="1" x14ac:dyDescent="0.2"/>
    <row r="167" ht="14.25" customHeight="1" x14ac:dyDescent="0.2"/>
    <row r="168" ht="14.25" customHeight="1" x14ac:dyDescent="0.2"/>
    <row r="169" ht="14.25" customHeight="1" x14ac:dyDescent="0.2"/>
    <row r="170" ht="14.25" customHeight="1" x14ac:dyDescent="0.2"/>
    <row r="171" ht="14.25" customHeight="1" x14ac:dyDescent="0.2"/>
    <row r="172" ht="14.25" customHeight="1" x14ac:dyDescent="0.2"/>
    <row r="173" ht="14.25" customHeight="1" x14ac:dyDescent="0.2"/>
    <row r="174" ht="14.25" customHeight="1" x14ac:dyDescent="0.2"/>
    <row r="175" ht="14.25" customHeight="1" x14ac:dyDescent="0.2"/>
    <row r="176" ht="14.25" customHeight="1" x14ac:dyDescent="0.2"/>
    <row r="177" ht="14.25" customHeight="1" x14ac:dyDescent="0.2"/>
    <row r="178" ht="14.25" customHeight="1" x14ac:dyDescent="0.2"/>
    <row r="179" ht="14.25" customHeight="1" x14ac:dyDescent="0.2"/>
    <row r="180" ht="14.25" customHeight="1" x14ac:dyDescent="0.2"/>
    <row r="181" ht="14.25" customHeight="1" x14ac:dyDescent="0.2"/>
    <row r="182" ht="14.25" customHeight="1" x14ac:dyDescent="0.2"/>
    <row r="183" ht="14.25" customHeight="1" x14ac:dyDescent="0.2"/>
    <row r="184" ht="14.25" customHeight="1" x14ac:dyDescent="0.2"/>
    <row r="185" ht="14.25" customHeight="1" x14ac:dyDescent="0.2"/>
    <row r="186" ht="14.25" customHeight="1" x14ac:dyDescent="0.2"/>
    <row r="187" ht="14.25" customHeight="1" x14ac:dyDescent="0.2"/>
    <row r="188" ht="14.25" customHeight="1" x14ac:dyDescent="0.2"/>
    <row r="189" ht="14.25" customHeight="1" x14ac:dyDescent="0.2"/>
    <row r="190" ht="14.25" customHeight="1" x14ac:dyDescent="0.2"/>
    <row r="191" ht="14.25" customHeight="1" x14ac:dyDescent="0.2"/>
    <row r="192" ht="14.25" customHeight="1" x14ac:dyDescent="0.2"/>
    <row r="193" ht="14.25" customHeight="1" x14ac:dyDescent="0.2"/>
    <row r="194" ht="14.25" customHeight="1" x14ac:dyDescent="0.2"/>
    <row r="195" ht="14.25" customHeight="1" x14ac:dyDescent="0.2"/>
    <row r="196" ht="14.25" customHeight="1" x14ac:dyDescent="0.2"/>
    <row r="197" ht="14.25" customHeight="1" x14ac:dyDescent="0.2"/>
    <row r="198" ht="14.25" customHeight="1" x14ac:dyDescent="0.2"/>
    <row r="199" ht="14.25" customHeight="1" x14ac:dyDescent="0.2"/>
    <row r="200" ht="14.25" customHeight="1" x14ac:dyDescent="0.2"/>
    <row r="201" ht="14.25" customHeight="1" x14ac:dyDescent="0.2"/>
    <row r="202" ht="14.25" customHeight="1" x14ac:dyDescent="0.2"/>
    <row r="203" ht="14.25" customHeight="1" x14ac:dyDescent="0.2"/>
    <row r="204" ht="14.25" customHeight="1" x14ac:dyDescent="0.2"/>
    <row r="205" ht="14.25" customHeight="1" x14ac:dyDescent="0.2"/>
    <row r="206" ht="14.25" customHeight="1" x14ac:dyDescent="0.2"/>
    <row r="207" ht="14.25" customHeight="1" x14ac:dyDescent="0.2"/>
    <row r="208" ht="14.25" customHeight="1" x14ac:dyDescent="0.2"/>
    <row r="209" ht="14.25" customHeight="1" x14ac:dyDescent="0.2"/>
    <row r="210" ht="14.25" customHeight="1" x14ac:dyDescent="0.2"/>
    <row r="211" ht="14.25" customHeight="1" x14ac:dyDescent="0.2"/>
    <row r="212" ht="14.25" customHeight="1" x14ac:dyDescent="0.2"/>
    <row r="213" ht="14.25" customHeight="1" x14ac:dyDescent="0.2"/>
    <row r="214" ht="14.25" customHeight="1" x14ac:dyDescent="0.2"/>
    <row r="215" ht="14.25" customHeight="1" x14ac:dyDescent="0.2"/>
    <row r="216" ht="14.25" customHeight="1" x14ac:dyDescent="0.2"/>
    <row r="217" ht="14.25" customHeight="1" x14ac:dyDescent="0.2"/>
    <row r="218" ht="14.25" customHeight="1" x14ac:dyDescent="0.2"/>
    <row r="219" ht="14.25" customHeight="1" x14ac:dyDescent="0.2"/>
    <row r="220" ht="14.25" customHeight="1" x14ac:dyDescent="0.2"/>
    <row r="221" ht="14.25" customHeight="1" x14ac:dyDescent="0.2"/>
    <row r="222" ht="14.25" customHeight="1" x14ac:dyDescent="0.2"/>
    <row r="223" ht="14.25" customHeight="1" x14ac:dyDescent="0.2"/>
    <row r="224" ht="14.25" customHeight="1" x14ac:dyDescent="0.2"/>
    <row r="225" ht="14.25" customHeight="1" x14ac:dyDescent="0.2"/>
    <row r="226" ht="14.25" customHeight="1" x14ac:dyDescent="0.2"/>
    <row r="227" ht="14.25" customHeight="1" x14ac:dyDescent="0.2"/>
    <row r="228" ht="14.25" customHeight="1" x14ac:dyDescent="0.2"/>
    <row r="229" ht="14.25" customHeight="1" x14ac:dyDescent="0.2"/>
    <row r="230" ht="14.25" customHeight="1" x14ac:dyDescent="0.2"/>
    <row r="231" ht="14.25" customHeight="1" x14ac:dyDescent="0.2"/>
    <row r="232" ht="14.25" customHeight="1" x14ac:dyDescent="0.2"/>
    <row r="233" ht="14.25" customHeight="1" x14ac:dyDescent="0.2"/>
    <row r="234" ht="14.25" customHeight="1" x14ac:dyDescent="0.2"/>
    <row r="235" ht="14.25" customHeight="1" x14ac:dyDescent="0.2"/>
    <row r="236" ht="14.25" customHeight="1" x14ac:dyDescent="0.2"/>
    <row r="237" ht="14.25" customHeight="1" x14ac:dyDescent="0.2"/>
    <row r="238" ht="14.25" customHeight="1" x14ac:dyDescent="0.2"/>
    <row r="239" ht="14.25" customHeight="1" x14ac:dyDescent="0.2"/>
    <row r="240" ht="14.25" customHeight="1" x14ac:dyDescent="0.2"/>
    <row r="241" ht="14.25" customHeight="1" x14ac:dyDescent="0.2"/>
    <row r="242" ht="14.25" customHeight="1" x14ac:dyDescent="0.2"/>
    <row r="243" ht="14.25" customHeight="1" x14ac:dyDescent="0.2"/>
    <row r="244" ht="14.25" customHeight="1" x14ac:dyDescent="0.2"/>
    <row r="245" ht="14.25" customHeight="1" x14ac:dyDescent="0.2"/>
    <row r="246" ht="14.25" customHeight="1" x14ac:dyDescent="0.2"/>
    <row r="247" ht="14.25" customHeight="1" x14ac:dyDescent="0.2"/>
    <row r="248" ht="14.25" customHeight="1" x14ac:dyDescent="0.2"/>
    <row r="249" ht="14.25" customHeight="1" x14ac:dyDescent="0.2"/>
    <row r="250" ht="14.25" customHeight="1" x14ac:dyDescent="0.2"/>
    <row r="251" ht="14.25" customHeight="1" x14ac:dyDescent="0.2"/>
    <row r="252" ht="14.25" customHeight="1" x14ac:dyDescent="0.2"/>
    <row r="253" ht="14.25" customHeight="1" x14ac:dyDescent="0.2"/>
    <row r="254" ht="14.25" customHeight="1" x14ac:dyDescent="0.2"/>
    <row r="255" ht="14.25" customHeight="1" x14ac:dyDescent="0.2"/>
    <row r="256" ht="14.25" customHeight="1" x14ac:dyDescent="0.2"/>
    <row r="257" ht="14.25" customHeight="1" x14ac:dyDescent="0.2"/>
    <row r="258" ht="14.25" customHeight="1" x14ac:dyDescent="0.2"/>
    <row r="259" ht="14.25" customHeight="1" x14ac:dyDescent="0.2"/>
    <row r="260" ht="14.25" customHeight="1" x14ac:dyDescent="0.2"/>
    <row r="261" ht="14.25" customHeight="1" x14ac:dyDescent="0.2"/>
    <row r="262" ht="14.25" customHeight="1" x14ac:dyDescent="0.2"/>
    <row r="263" ht="14.25" customHeight="1" x14ac:dyDescent="0.2"/>
    <row r="264" ht="14.25" customHeight="1" x14ac:dyDescent="0.2"/>
    <row r="265" ht="14.25" customHeight="1" x14ac:dyDescent="0.2"/>
    <row r="266" ht="14.25" customHeight="1" x14ac:dyDescent="0.2"/>
    <row r="267" ht="14.25" customHeight="1" x14ac:dyDescent="0.2"/>
    <row r="268" ht="14.25" customHeight="1" x14ac:dyDescent="0.2"/>
    <row r="269" ht="14.25" customHeight="1" x14ac:dyDescent="0.2"/>
    <row r="270" ht="14.25" customHeight="1" x14ac:dyDescent="0.2"/>
    <row r="271" ht="14.25" customHeight="1" x14ac:dyDescent="0.2"/>
    <row r="272" ht="14.25" customHeight="1" x14ac:dyDescent="0.2"/>
    <row r="273" ht="14.25" customHeight="1" x14ac:dyDescent="0.2"/>
    <row r="274" ht="14.25" customHeight="1" x14ac:dyDescent="0.2"/>
    <row r="275" ht="14.25" customHeight="1" x14ac:dyDescent="0.2"/>
    <row r="276" ht="14.25" customHeight="1" x14ac:dyDescent="0.2"/>
    <row r="277" ht="14.25" customHeight="1" x14ac:dyDescent="0.2"/>
    <row r="278" ht="14.25" customHeight="1" x14ac:dyDescent="0.2"/>
    <row r="279" ht="14.25" customHeight="1" x14ac:dyDescent="0.2"/>
    <row r="280" ht="14.25" customHeight="1" x14ac:dyDescent="0.2"/>
    <row r="281" ht="14.25" customHeight="1" x14ac:dyDescent="0.2"/>
    <row r="282" ht="14.25" customHeight="1" x14ac:dyDescent="0.2"/>
    <row r="283" ht="14.25" customHeight="1" x14ac:dyDescent="0.2"/>
    <row r="284" ht="14.25" customHeight="1" x14ac:dyDescent="0.2"/>
    <row r="285" ht="14.25" customHeight="1" x14ac:dyDescent="0.2"/>
    <row r="286" ht="14.25" customHeight="1" x14ac:dyDescent="0.2"/>
    <row r="287" ht="14.25" customHeight="1" x14ac:dyDescent="0.2"/>
    <row r="288" ht="14.25" customHeight="1" x14ac:dyDescent="0.2"/>
    <row r="289" ht="14.25" customHeight="1" x14ac:dyDescent="0.2"/>
    <row r="290" ht="14.25" customHeight="1" x14ac:dyDescent="0.2"/>
    <row r="291" ht="14.25" customHeight="1" x14ac:dyDescent="0.2"/>
    <row r="292" ht="14.25" customHeight="1" x14ac:dyDescent="0.2"/>
    <row r="293" ht="14.25" customHeight="1" x14ac:dyDescent="0.2"/>
    <row r="294" ht="14.25" customHeight="1" x14ac:dyDescent="0.2"/>
    <row r="295" ht="14.25" customHeight="1" x14ac:dyDescent="0.2"/>
    <row r="296" ht="14.25" customHeight="1" x14ac:dyDescent="0.2"/>
    <row r="297" ht="14.25" customHeight="1" x14ac:dyDescent="0.2"/>
    <row r="298" ht="14.25" customHeight="1" x14ac:dyDescent="0.2"/>
    <row r="299" ht="14.25" customHeight="1" x14ac:dyDescent="0.2"/>
    <row r="300" ht="14.25" customHeight="1" x14ac:dyDescent="0.2"/>
    <row r="301" ht="14.25" customHeight="1" x14ac:dyDescent="0.2"/>
    <row r="302" ht="14.25" customHeight="1" x14ac:dyDescent="0.2"/>
    <row r="303" ht="14.25" customHeight="1" x14ac:dyDescent="0.2"/>
    <row r="304" ht="14.25" customHeight="1" x14ac:dyDescent="0.2"/>
    <row r="305" ht="14.25" customHeight="1" x14ac:dyDescent="0.2"/>
    <row r="306" ht="14.25" customHeight="1" x14ac:dyDescent="0.2"/>
    <row r="307" ht="14.25" customHeight="1" x14ac:dyDescent="0.2"/>
    <row r="308" ht="14.25" customHeight="1" x14ac:dyDescent="0.2"/>
    <row r="309" ht="14.25" customHeight="1" x14ac:dyDescent="0.2"/>
    <row r="310" ht="14.25" customHeight="1" x14ac:dyDescent="0.2"/>
    <row r="311" ht="14.25" customHeight="1" x14ac:dyDescent="0.2"/>
    <row r="312" ht="14.25" customHeight="1" x14ac:dyDescent="0.2"/>
    <row r="313" ht="14.25" customHeight="1" x14ac:dyDescent="0.2"/>
    <row r="314" ht="14.25" customHeight="1" x14ac:dyDescent="0.2"/>
    <row r="315" ht="14.25" customHeight="1" x14ac:dyDescent="0.2"/>
    <row r="316" ht="14.25" customHeight="1" x14ac:dyDescent="0.2"/>
    <row r="317" ht="14.25" customHeight="1" x14ac:dyDescent="0.2"/>
    <row r="318" ht="14.25" customHeight="1" x14ac:dyDescent="0.2"/>
    <row r="319" ht="14.25" customHeight="1" x14ac:dyDescent="0.2"/>
    <row r="320" ht="14.25" customHeight="1" x14ac:dyDescent="0.2"/>
    <row r="321" ht="14.25" customHeight="1" x14ac:dyDescent="0.2"/>
    <row r="322" ht="14.25" customHeight="1" x14ac:dyDescent="0.2"/>
    <row r="323" ht="14.25" customHeight="1" x14ac:dyDescent="0.2"/>
    <row r="324" ht="14.25" customHeight="1" x14ac:dyDescent="0.2"/>
    <row r="325" ht="14.25" customHeight="1" x14ac:dyDescent="0.2"/>
    <row r="326" ht="14.25" customHeight="1" x14ac:dyDescent="0.2"/>
    <row r="327" ht="14.25" customHeight="1" x14ac:dyDescent="0.2"/>
    <row r="328" ht="14.25" customHeight="1" x14ac:dyDescent="0.2"/>
    <row r="329" ht="14.25" customHeight="1" x14ac:dyDescent="0.2"/>
    <row r="330" ht="14.25" customHeight="1" x14ac:dyDescent="0.2"/>
    <row r="331" ht="14.25" customHeight="1" x14ac:dyDescent="0.2"/>
    <row r="332" ht="14.25" customHeight="1" x14ac:dyDescent="0.2"/>
    <row r="333" ht="14.25" customHeight="1" x14ac:dyDescent="0.2"/>
    <row r="334" ht="14.25" customHeight="1" x14ac:dyDescent="0.2"/>
    <row r="335" ht="14.25" customHeight="1" x14ac:dyDescent="0.2"/>
    <row r="336" ht="14.25" customHeight="1" x14ac:dyDescent="0.2"/>
    <row r="337" ht="14.25" customHeight="1" x14ac:dyDescent="0.2"/>
    <row r="338" ht="14.25" customHeight="1" x14ac:dyDescent="0.2"/>
    <row r="339" ht="14.25" customHeight="1" x14ac:dyDescent="0.2"/>
    <row r="340" ht="14.25" customHeight="1" x14ac:dyDescent="0.2"/>
    <row r="341" ht="14.25" customHeight="1" x14ac:dyDescent="0.2"/>
    <row r="342" ht="14.25" customHeight="1" x14ac:dyDescent="0.2"/>
    <row r="343" ht="14.25" customHeight="1" x14ac:dyDescent="0.2"/>
    <row r="344" ht="14.25" customHeight="1" x14ac:dyDescent="0.2"/>
    <row r="345" ht="14.25" customHeight="1" x14ac:dyDescent="0.2"/>
    <row r="346" ht="14.25" customHeight="1" x14ac:dyDescent="0.2"/>
    <row r="347" ht="14.25" customHeight="1" x14ac:dyDescent="0.2"/>
    <row r="348" ht="14.25" customHeight="1" x14ac:dyDescent="0.2"/>
    <row r="349" ht="14.25" customHeight="1" x14ac:dyDescent="0.2"/>
    <row r="350" ht="14.25" customHeight="1" x14ac:dyDescent="0.2"/>
    <row r="351" ht="14.25" customHeight="1" x14ac:dyDescent="0.2"/>
    <row r="352" ht="14.25" customHeight="1" x14ac:dyDescent="0.2"/>
    <row r="353" ht="14.25" customHeight="1" x14ac:dyDescent="0.2"/>
    <row r="354" ht="14.25" customHeight="1" x14ac:dyDescent="0.2"/>
    <row r="355" ht="14.25" customHeight="1" x14ac:dyDescent="0.2"/>
    <row r="356" ht="14.25" customHeight="1" x14ac:dyDescent="0.2"/>
    <row r="357" ht="14.25" customHeight="1" x14ac:dyDescent="0.2"/>
    <row r="358" ht="14.25" customHeight="1" x14ac:dyDescent="0.2"/>
    <row r="359" ht="14.25" customHeight="1" x14ac:dyDescent="0.2"/>
    <row r="360" ht="14.25" customHeight="1" x14ac:dyDescent="0.2"/>
    <row r="361" ht="14.25" customHeight="1" x14ac:dyDescent="0.2"/>
    <row r="362" ht="14.25" customHeight="1" x14ac:dyDescent="0.2"/>
    <row r="363" ht="14.25" customHeight="1" x14ac:dyDescent="0.2"/>
    <row r="364" ht="14.25" customHeight="1" x14ac:dyDescent="0.2"/>
    <row r="365" ht="14.25" customHeight="1" x14ac:dyDescent="0.2"/>
    <row r="366" ht="14.25" customHeight="1" x14ac:dyDescent="0.2"/>
    <row r="367" ht="14.25" customHeight="1" x14ac:dyDescent="0.2"/>
    <row r="368" ht="14.25" customHeight="1" x14ac:dyDescent="0.2"/>
    <row r="369" ht="14.25" customHeight="1" x14ac:dyDescent="0.2"/>
    <row r="370" ht="14.25" customHeight="1" x14ac:dyDescent="0.2"/>
    <row r="371" ht="14.25" customHeight="1" x14ac:dyDescent="0.2"/>
    <row r="372" ht="14.25" customHeight="1" x14ac:dyDescent="0.2"/>
    <row r="373" ht="14.25" customHeight="1" x14ac:dyDescent="0.2"/>
    <row r="374" ht="14.25" customHeight="1" x14ac:dyDescent="0.2"/>
    <row r="375" ht="14.25" customHeight="1" x14ac:dyDescent="0.2"/>
    <row r="376" ht="14.25" customHeight="1" x14ac:dyDescent="0.2"/>
    <row r="377" ht="14.25" customHeight="1" x14ac:dyDescent="0.2"/>
    <row r="378" ht="14.25" customHeight="1" x14ac:dyDescent="0.2"/>
    <row r="379" ht="14.25" customHeight="1" x14ac:dyDescent="0.2"/>
    <row r="380" ht="14.25" customHeight="1" x14ac:dyDescent="0.2"/>
    <row r="381" ht="14.25" customHeight="1" x14ac:dyDescent="0.2"/>
    <row r="382" ht="14.25" customHeight="1" x14ac:dyDescent="0.2"/>
    <row r="383" ht="14.25" customHeight="1" x14ac:dyDescent="0.2"/>
    <row r="384" ht="14.25" customHeight="1" x14ac:dyDescent="0.2"/>
    <row r="385" ht="14.25" customHeight="1" x14ac:dyDescent="0.2"/>
    <row r="386" ht="14.25" customHeight="1" x14ac:dyDescent="0.2"/>
    <row r="387" ht="14.25" customHeight="1" x14ac:dyDescent="0.2"/>
    <row r="388" ht="14.25" customHeight="1" x14ac:dyDescent="0.2"/>
    <row r="389" ht="14.25" customHeight="1" x14ac:dyDescent="0.2"/>
    <row r="390" ht="14.25" customHeight="1" x14ac:dyDescent="0.2"/>
    <row r="391" ht="14.25" customHeight="1" x14ac:dyDescent="0.2"/>
    <row r="392" ht="14.25" customHeight="1" x14ac:dyDescent="0.2"/>
    <row r="393" ht="14.25" customHeight="1" x14ac:dyDescent="0.2"/>
    <row r="394" ht="14.25" customHeight="1" x14ac:dyDescent="0.2"/>
    <row r="395" ht="14.25" customHeight="1" x14ac:dyDescent="0.2"/>
    <row r="396" ht="14.25" customHeight="1" x14ac:dyDescent="0.2"/>
    <row r="397" ht="14.25" customHeight="1" x14ac:dyDescent="0.2"/>
    <row r="398" ht="14.25" customHeight="1" x14ac:dyDescent="0.2"/>
    <row r="399" ht="14.25" customHeight="1" x14ac:dyDescent="0.2"/>
    <row r="400" ht="14.25" customHeight="1" x14ac:dyDescent="0.2"/>
    <row r="401" ht="14.25" customHeight="1" x14ac:dyDescent="0.2"/>
    <row r="402" ht="14.25" customHeight="1" x14ac:dyDescent="0.2"/>
    <row r="403" ht="14.25" customHeight="1" x14ac:dyDescent="0.2"/>
    <row r="404" ht="14.25" customHeight="1" x14ac:dyDescent="0.2"/>
    <row r="405" ht="14.25" customHeight="1" x14ac:dyDescent="0.2"/>
    <row r="406" ht="14.25" customHeight="1" x14ac:dyDescent="0.2"/>
    <row r="407" ht="14.25" customHeight="1" x14ac:dyDescent="0.2"/>
    <row r="408" ht="14.25" customHeight="1" x14ac:dyDescent="0.2"/>
    <row r="409" ht="14.25" customHeight="1" x14ac:dyDescent="0.2"/>
    <row r="410" ht="14.25" customHeight="1" x14ac:dyDescent="0.2"/>
    <row r="411" ht="14.25" customHeight="1" x14ac:dyDescent="0.2"/>
    <row r="412" ht="14.25" customHeight="1" x14ac:dyDescent="0.2"/>
    <row r="413" ht="14.25" customHeight="1" x14ac:dyDescent="0.2"/>
    <row r="414" ht="14.25" customHeight="1" x14ac:dyDescent="0.2"/>
    <row r="415" ht="14.25" customHeight="1" x14ac:dyDescent="0.2"/>
    <row r="416" ht="14.25" customHeight="1" x14ac:dyDescent="0.2"/>
    <row r="417" ht="14.25" customHeight="1" x14ac:dyDescent="0.2"/>
    <row r="418" ht="14.25" customHeight="1" x14ac:dyDescent="0.2"/>
    <row r="419" ht="14.25" customHeight="1" x14ac:dyDescent="0.2"/>
    <row r="420" ht="14.25" customHeight="1" x14ac:dyDescent="0.2"/>
    <row r="421" ht="14.25" customHeight="1" x14ac:dyDescent="0.2"/>
    <row r="422" ht="14.25" customHeight="1" x14ac:dyDescent="0.2"/>
    <row r="423" ht="14.25" customHeight="1" x14ac:dyDescent="0.2"/>
    <row r="424" ht="14.25" customHeight="1" x14ac:dyDescent="0.2"/>
    <row r="425" ht="14.25" customHeight="1" x14ac:dyDescent="0.2"/>
    <row r="426" ht="14.25" customHeight="1" x14ac:dyDescent="0.2"/>
    <row r="427" ht="14.25" customHeight="1" x14ac:dyDescent="0.2"/>
    <row r="428" ht="14.25" customHeight="1" x14ac:dyDescent="0.2"/>
    <row r="429" ht="14.25" customHeight="1" x14ac:dyDescent="0.2"/>
    <row r="430" ht="14.25" customHeight="1" x14ac:dyDescent="0.2"/>
    <row r="431" ht="14.25" customHeight="1" x14ac:dyDescent="0.2"/>
    <row r="432" ht="14.25" customHeight="1" x14ac:dyDescent="0.2"/>
    <row r="433" ht="14.25" customHeight="1" x14ac:dyDescent="0.2"/>
    <row r="434" ht="14.25" customHeight="1" x14ac:dyDescent="0.2"/>
    <row r="435" ht="14.25" customHeight="1" x14ac:dyDescent="0.2"/>
    <row r="436" ht="14.25" customHeight="1" x14ac:dyDescent="0.2"/>
    <row r="437" ht="14.25" customHeight="1" x14ac:dyDescent="0.2"/>
    <row r="438" ht="14.25" customHeight="1" x14ac:dyDescent="0.2"/>
    <row r="439" ht="14.25" customHeight="1" x14ac:dyDescent="0.2"/>
    <row r="440" ht="14.25" customHeight="1" x14ac:dyDescent="0.2"/>
    <row r="441" ht="14.25" customHeight="1" x14ac:dyDescent="0.2"/>
    <row r="442" ht="14.25" customHeight="1" x14ac:dyDescent="0.2"/>
    <row r="443" ht="14.25" customHeight="1" x14ac:dyDescent="0.2"/>
    <row r="444" ht="14.25" customHeight="1" x14ac:dyDescent="0.2"/>
    <row r="445" ht="14.25" customHeight="1" x14ac:dyDescent="0.2"/>
    <row r="446" ht="14.25" customHeight="1" x14ac:dyDescent="0.2"/>
    <row r="447" ht="14.25" customHeight="1" x14ac:dyDescent="0.2"/>
    <row r="448" ht="14.25" customHeight="1" x14ac:dyDescent="0.2"/>
    <row r="449" ht="14.25" customHeight="1" x14ac:dyDescent="0.2"/>
    <row r="450" ht="14.25" customHeight="1" x14ac:dyDescent="0.2"/>
    <row r="451" ht="14.25" customHeight="1" x14ac:dyDescent="0.2"/>
    <row r="452" ht="14.25" customHeight="1" x14ac:dyDescent="0.2"/>
    <row r="453" ht="14.25" customHeight="1" x14ac:dyDescent="0.2"/>
    <row r="454" ht="14.25" customHeight="1" x14ac:dyDescent="0.2"/>
    <row r="455" ht="14.25" customHeight="1" x14ac:dyDescent="0.2"/>
    <row r="456" ht="14.25" customHeight="1" x14ac:dyDescent="0.2"/>
    <row r="457" ht="14.25" customHeight="1" x14ac:dyDescent="0.2"/>
    <row r="458" ht="14.25" customHeight="1" x14ac:dyDescent="0.2"/>
    <row r="459" ht="14.25" customHeight="1" x14ac:dyDescent="0.2"/>
    <row r="460" ht="14.25" customHeight="1" x14ac:dyDescent="0.2"/>
    <row r="461" ht="14.25" customHeight="1" x14ac:dyDescent="0.2"/>
    <row r="462" ht="14.25" customHeight="1" x14ac:dyDescent="0.2"/>
    <row r="463" ht="14.25" customHeight="1" x14ac:dyDescent="0.2"/>
    <row r="464" ht="14.25" customHeight="1" x14ac:dyDescent="0.2"/>
    <row r="465" ht="14.25" customHeight="1" x14ac:dyDescent="0.2"/>
    <row r="466" ht="14.25" customHeight="1" x14ac:dyDescent="0.2"/>
    <row r="467" ht="14.25" customHeight="1" x14ac:dyDescent="0.2"/>
    <row r="468" ht="14.25" customHeight="1" x14ac:dyDescent="0.2"/>
    <row r="469" ht="14.25" customHeight="1" x14ac:dyDescent="0.2"/>
    <row r="470" ht="14.25" customHeight="1" x14ac:dyDescent="0.2"/>
    <row r="471" ht="14.25" customHeight="1" x14ac:dyDescent="0.2"/>
    <row r="472" ht="14.25" customHeight="1" x14ac:dyDescent="0.2"/>
    <row r="473" ht="14.25" customHeight="1" x14ac:dyDescent="0.2"/>
    <row r="474" ht="14.25" customHeight="1" x14ac:dyDescent="0.2"/>
    <row r="475" ht="14.25" customHeight="1" x14ac:dyDescent="0.2"/>
    <row r="476" ht="14.25" customHeight="1" x14ac:dyDescent="0.2"/>
    <row r="477" ht="14.25" customHeight="1" x14ac:dyDescent="0.2"/>
    <row r="478" ht="14.25" customHeight="1" x14ac:dyDescent="0.2"/>
    <row r="479" ht="14.25" customHeight="1" x14ac:dyDescent="0.2"/>
    <row r="480" ht="14.25" customHeight="1" x14ac:dyDescent="0.2"/>
    <row r="481" ht="14.25" customHeight="1" x14ac:dyDescent="0.2"/>
    <row r="482" ht="14.25" customHeight="1" x14ac:dyDescent="0.2"/>
    <row r="483" ht="14.25" customHeight="1" x14ac:dyDescent="0.2"/>
    <row r="484" ht="14.25" customHeight="1" x14ac:dyDescent="0.2"/>
    <row r="485" ht="14.25" customHeight="1" x14ac:dyDescent="0.2"/>
    <row r="486" ht="14.25" customHeight="1" x14ac:dyDescent="0.2"/>
    <row r="487" ht="14.25" customHeight="1" x14ac:dyDescent="0.2"/>
    <row r="488" ht="14.25" customHeight="1" x14ac:dyDescent="0.2"/>
    <row r="489" ht="14.25" customHeight="1" x14ac:dyDescent="0.2"/>
    <row r="490" ht="14.25" customHeight="1" x14ac:dyDescent="0.2"/>
    <row r="491" ht="14.25" customHeight="1" x14ac:dyDescent="0.2"/>
    <row r="492" ht="14.25" customHeight="1" x14ac:dyDescent="0.2"/>
    <row r="493" ht="14.25" customHeight="1" x14ac:dyDescent="0.2"/>
    <row r="494" ht="14.25" customHeight="1" x14ac:dyDescent="0.2"/>
    <row r="495" ht="14.25" customHeight="1" x14ac:dyDescent="0.2"/>
    <row r="496" ht="14.25" customHeight="1" x14ac:dyDescent="0.2"/>
    <row r="497" ht="14.25" customHeight="1" x14ac:dyDescent="0.2"/>
    <row r="498" ht="14.25" customHeight="1" x14ac:dyDescent="0.2"/>
    <row r="499" ht="14.25" customHeight="1" x14ac:dyDescent="0.2"/>
    <row r="500" ht="14.25" customHeight="1" x14ac:dyDescent="0.2"/>
    <row r="501" ht="14.25" customHeight="1" x14ac:dyDescent="0.2"/>
    <row r="502" ht="14.25" customHeight="1" x14ac:dyDescent="0.2"/>
    <row r="503" ht="14.25" customHeight="1" x14ac:dyDescent="0.2"/>
    <row r="504" ht="14.25" customHeight="1" x14ac:dyDescent="0.2"/>
    <row r="505" ht="14.25" customHeight="1" x14ac:dyDescent="0.2"/>
    <row r="506" ht="14.25" customHeight="1" x14ac:dyDescent="0.2"/>
    <row r="507" ht="14.25" customHeight="1" x14ac:dyDescent="0.2"/>
    <row r="508" ht="14.25" customHeight="1" x14ac:dyDescent="0.2"/>
    <row r="509" ht="14.25" customHeight="1" x14ac:dyDescent="0.2"/>
    <row r="510" ht="14.25" customHeight="1" x14ac:dyDescent="0.2"/>
    <row r="511" ht="14.25" customHeight="1" x14ac:dyDescent="0.2"/>
    <row r="512" ht="14.25" customHeight="1" x14ac:dyDescent="0.2"/>
    <row r="513" ht="14.25" customHeight="1" x14ac:dyDescent="0.2"/>
    <row r="514" ht="14.25" customHeight="1" x14ac:dyDescent="0.2"/>
    <row r="515" ht="14.25" customHeight="1" x14ac:dyDescent="0.2"/>
    <row r="516" ht="14.25" customHeight="1" x14ac:dyDescent="0.2"/>
    <row r="517" ht="14.25" customHeight="1" x14ac:dyDescent="0.2"/>
    <row r="518" ht="14.25" customHeight="1" x14ac:dyDescent="0.2"/>
    <row r="519" ht="14.25" customHeight="1" x14ac:dyDescent="0.2"/>
    <row r="520" ht="14.25" customHeight="1" x14ac:dyDescent="0.2"/>
    <row r="521" ht="14.25" customHeight="1" x14ac:dyDescent="0.2"/>
    <row r="522" ht="14.25" customHeight="1" x14ac:dyDescent="0.2"/>
    <row r="523" ht="14.25" customHeight="1" x14ac:dyDescent="0.2"/>
    <row r="524" ht="14.25" customHeight="1" x14ac:dyDescent="0.2"/>
    <row r="525" ht="14.25" customHeight="1" x14ac:dyDescent="0.2"/>
    <row r="526" ht="14.25" customHeight="1" x14ac:dyDescent="0.2"/>
    <row r="527" ht="14.25" customHeight="1" x14ac:dyDescent="0.2"/>
    <row r="528" ht="14.25" customHeight="1" x14ac:dyDescent="0.2"/>
    <row r="529" ht="14.25" customHeight="1" x14ac:dyDescent="0.2"/>
    <row r="530" ht="14.25" customHeight="1" x14ac:dyDescent="0.2"/>
    <row r="531" ht="14.25" customHeight="1" x14ac:dyDescent="0.2"/>
    <row r="532" ht="14.25" customHeight="1" x14ac:dyDescent="0.2"/>
    <row r="533" ht="14.25" customHeight="1" x14ac:dyDescent="0.2"/>
    <row r="534" ht="14.25" customHeight="1" x14ac:dyDescent="0.2"/>
    <row r="535" ht="14.25" customHeight="1" x14ac:dyDescent="0.2"/>
    <row r="536" ht="14.25" customHeight="1" x14ac:dyDescent="0.2"/>
    <row r="537" ht="14.25" customHeight="1" x14ac:dyDescent="0.2"/>
    <row r="538" ht="14.25" customHeight="1" x14ac:dyDescent="0.2"/>
    <row r="539" ht="14.25" customHeight="1" x14ac:dyDescent="0.2"/>
    <row r="540" ht="14.25" customHeight="1" x14ac:dyDescent="0.2"/>
    <row r="541" ht="14.25" customHeight="1" x14ac:dyDescent="0.2"/>
    <row r="542" ht="14.25" customHeight="1" x14ac:dyDescent="0.2"/>
    <row r="543" ht="14.25" customHeight="1" x14ac:dyDescent="0.2"/>
    <row r="544" ht="14.25" customHeight="1" x14ac:dyDescent="0.2"/>
    <row r="545" ht="14.25" customHeight="1" x14ac:dyDescent="0.2"/>
    <row r="546" ht="14.25" customHeight="1" x14ac:dyDescent="0.2"/>
    <row r="547" ht="14.25" customHeight="1" x14ac:dyDescent="0.2"/>
    <row r="548" ht="14.25" customHeight="1" x14ac:dyDescent="0.2"/>
    <row r="549" ht="14.25" customHeight="1" x14ac:dyDescent="0.2"/>
    <row r="550" ht="14.25" customHeight="1" x14ac:dyDescent="0.2"/>
    <row r="551" ht="14.25" customHeight="1" x14ac:dyDescent="0.2"/>
    <row r="552" ht="14.25" customHeight="1" x14ac:dyDescent="0.2"/>
    <row r="553" ht="14.25" customHeight="1" x14ac:dyDescent="0.2"/>
    <row r="554" ht="14.25" customHeight="1" x14ac:dyDescent="0.2"/>
    <row r="555" ht="14.25" customHeight="1" x14ac:dyDescent="0.2"/>
    <row r="556" ht="14.25" customHeight="1" x14ac:dyDescent="0.2"/>
    <row r="557" ht="14.25" customHeight="1" x14ac:dyDescent="0.2"/>
    <row r="558" ht="14.25" customHeight="1" x14ac:dyDescent="0.2"/>
    <row r="559" ht="14.25" customHeight="1" x14ac:dyDescent="0.2"/>
    <row r="560" ht="14.25" customHeight="1" x14ac:dyDescent="0.2"/>
    <row r="561" ht="14.25" customHeight="1" x14ac:dyDescent="0.2"/>
    <row r="562" ht="14.25" customHeight="1" x14ac:dyDescent="0.2"/>
    <row r="563" ht="14.25" customHeight="1" x14ac:dyDescent="0.2"/>
    <row r="564" ht="14.25" customHeight="1" x14ac:dyDescent="0.2"/>
    <row r="565" ht="14.25" customHeight="1" x14ac:dyDescent="0.2"/>
    <row r="566" ht="14.25" customHeight="1" x14ac:dyDescent="0.2"/>
    <row r="567" ht="14.25" customHeight="1" x14ac:dyDescent="0.2"/>
    <row r="568" ht="14.25" customHeight="1" x14ac:dyDescent="0.2"/>
    <row r="569" ht="14.25" customHeight="1" x14ac:dyDescent="0.2"/>
    <row r="570" ht="14.25" customHeight="1" x14ac:dyDescent="0.2"/>
    <row r="571" ht="14.25" customHeight="1" x14ac:dyDescent="0.2"/>
    <row r="572" ht="14.25" customHeight="1" x14ac:dyDescent="0.2"/>
    <row r="573" ht="14.25" customHeight="1" x14ac:dyDescent="0.2"/>
    <row r="574" ht="14.25" customHeight="1" x14ac:dyDescent="0.2"/>
    <row r="575" ht="14.25" customHeight="1" x14ac:dyDescent="0.2"/>
    <row r="576" ht="14.25" customHeight="1" x14ac:dyDescent="0.2"/>
    <row r="577" ht="14.25" customHeight="1" x14ac:dyDescent="0.2"/>
    <row r="578" ht="14.25" customHeight="1" x14ac:dyDescent="0.2"/>
    <row r="579" ht="14.25" customHeight="1" x14ac:dyDescent="0.2"/>
    <row r="580" ht="14.25" customHeight="1" x14ac:dyDescent="0.2"/>
    <row r="581" ht="14.25" customHeight="1" x14ac:dyDescent="0.2"/>
    <row r="582" ht="14.25" customHeight="1" x14ac:dyDescent="0.2"/>
    <row r="583" ht="14.25" customHeight="1" x14ac:dyDescent="0.2"/>
    <row r="584" ht="14.25" customHeight="1" x14ac:dyDescent="0.2"/>
    <row r="585" ht="14.25" customHeight="1" x14ac:dyDescent="0.2"/>
    <row r="586" ht="14.25" customHeight="1" x14ac:dyDescent="0.2"/>
    <row r="587" ht="14.25" customHeight="1" x14ac:dyDescent="0.2"/>
    <row r="588" ht="14.25" customHeight="1" x14ac:dyDescent="0.2"/>
    <row r="589" ht="14.25" customHeight="1" x14ac:dyDescent="0.2"/>
    <row r="590" ht="14.25" customHeight="1" x14ac:dyDescent="0.2"/>
    <row r="591" ht="14.25" customHeight="1" x14ac:dyDescent="0.2"/>
    <row r="592" ht="14.25" customHeight="1" x14ac:dyDescent="0.2"/>
    <row r="593" ht="14.25" customHeight="1" x14ac:dyDescent="0.2"/>
    <row r="594" ht="14.25" customHeight="1" x14ac:dyDescent="0.2"/>
    <row r="595" ht="14.25" customHeight="1" x14ac:dyDescent="0.2"/>
    <row r="596" ht="14.25" customHeight="1" x14ac:dyDescent="0.2"/>
    <row r="597" ht="14.25" customHeight="1" x14ac:dyDescent="0.2"/>
    <row r="598" ht="14.25" customHeight="1" x14ac:dyDescent="0.2"/>
    <row r="599" ht="14.25" customHeight="1" x14ac:dyDescent="0.2"/>
    <row r="600" ht="14.25" customHeight="1" x14ac:dyDescent="0.2"/>
    <row r="601" ht="14.25" customHeight="1" x14ac:dyDescent="0.2"/>
    <row r="602" ht="14.25" customHeight="1" x14ac:dyDescent="0.2"/>
    <row r="603" ht="14.25" customHeight="1" x14ac:dyDescent="0.2"/>
    <row r="604" ht="14.25" customHeight="1" x14ac:dyDescent="0.2"/>
    <row r="605" ht="14.25" customHeight="1" x14ac:dyDescent="0.2"/>
    <row r="606" ht="14.25" customHeight="1" x14ac:dyDescent="0.2"/>
    <row r="607" ht="14.25" customHeight="1" x14ac:dyDescent="0.2"/>
    <row r="608" ht="14.25" customHeight="1" x14ac:dyDescent="0.2"/>
    <row r="609" ht="14.25" customHeight="1" x14ac:dyDescent="0.2"/>
    <row r="610" ht="14.25" customHeight="1" x14ac:dyDescent="0.2"/>
    <row r="611" ht="14.25" customHeight="1" x14ac:dyDescent="0.2"/>
    <row r="612" ht="14.25" customHeight="1" x14ac:dyDescent="0.2"/>
    <row r="613" ht="14.25" customHeight="1" x14ac:dyDescent="0.2"/>
    <row r="614" ht="14.25" customHeight="1" x14ac:dyDescent="0.2"/>
    <row r="615" ht="14.25" customHeight="1" x14ac:dyDescent="0.2"/>
    <row r="616" ht="14.25" customHeight="1" x14ac:dyDescent="0.2"/>
    <row r="617" ht="14.25" customHeight="1" x14ac:dyDescent="0.2"/>
    <row r="618" ht="14.25" customHeight="1" x14ac:dyDescent="0.2"/>
    <row r="619" ht="14.25" customHeight="1" x14ac:dyDescent="0.2"/>
    <row r="620" ht="14.25" customHeight="1" x14ac:dyDescent="0.2"/>
    <row r="621" ht="14.25" customHeight="1" x14ac:dyDescent="0.2"/>
    <row r="622" ht="14.25" customHeight="1" x14ac:dyDescent="0.2"/>
    <row r="623" ht="14.25" customHeight="1" x14ac:dyDescent="0.2"/>
    <row r="624" ht="14.25" customHeight="1" x14ac:dyDescent="0.2"/>
    <row r="625" ht="14.25" customHeight="1" x14ac:dyDescent="0.2"/>
    <row r="626" ht="14.25" customHeight="1" x14ac:dyDescent="0.2"/>
    <row r="627" ht="14.25" customHeight="1" x14ac:dyDescent="0.2"/>
    <row r="628" ht="14.25" customHeight="1" x14ac:dyDescent="0.2"/>
    <row r="629" ht="14.25" customHeight="1" x14ac:dyDescent="0.2"/>
    <row r="630" ht="14.25" customHeight="1" x14ac:dyDescent="0.2"/>
    <row r="631" ht="14.25" customHeight="1" x14ac:dyDescent="0.2"/>
    <row r="632" ht="14.25" customHeight="1" x14ac:dyDescent="0.2"/>
    <row r="633" ht="14.25" customHeight="1" x14ac:dyDescent="0.2"/>
    <row r="634" ht="14.25" customHeight="1" x14ac:dyDescent="0.2"/>
    <row r="635" ht="14.25" customHeight="1" x14ac:dyDescent="0.2"/>
    <row r="636" ht="14.25" customHeight="1" x14ac:dyDescent="0.2"/>
    <row r="637" ht="14.25" customHeight="1" x14ac:dyDescent="0.2"/>
    <row r="638" ht="14.25" customHeight="1" x14ac:dyDescent="0.2"/>
    <row r="639" ht="14.25" customHeight="1" x14ac:dyDescent="0.2"/>
    <row r="640" ht="14.25" customHeight="1" x14ac:dyDescent="0.2"/>
    <row r="641" ht="14.25" customHeight="1" x14ac:dyDescent="0.2"/>
    <row r="642" ht="14.25" customHeight="1" x14ac:dyDescent="0.2"/>
    <row r="643" ht="14.25" customHeight="1" x14ac:dyDescent="0.2"/>
    <row r="644" ht="14.25" customHeight="1" x14ac:dyDescent="0.2"/>
    <row r="645" ht="14.25" customHeight="1" x14ac:dyDescent="0.2"/>
    <row r="646" ht="14.25" customHeight="1" x14ac:dyDescent="0.2"/>
    <row r="647" ht="14.25" customHeight="1" x14ac:dyDescent="0.2"/>
    <row r="648" ht="14.25" customHeight="1" x14ac:dyDescent="0.2"/>
    <row r="649" ht="14.25" customHeight="1" x14ac:dyDescent="0.2"/>
    <row r="650" ht="14.25" customHeight="1" x14ac:dyDescent="0.2"/>
    <row r="651" ht="14.25" customHeight="1" x14ac:dyDescent="0.2"/>
    <row r="652" ht="14.25" customHeight="1" x14ac:dyDescent="0.2"/>
    <row r="653" ht="14.25" customHeight="1" x14ac:dyDescent="0.2"/>
    <row r="654" ht="14.25" customHeight="1" x14ac:dyDescent="0.2"/>
    <row r="655" ht="14.25" customHeight="1" x14ac:dyDescent="0.2"/>
    <row r="656" ht="14.25" customHeight="1" x14ac:dyDescent="0.2"/>
    <row r="657" ht="14.25" customHeight="1" x14ac:dyDescent="0.2"/>
    <row r="658" ht="14.25" customHeight="1" x14ac:dyDescent="0.2"/>
    <row r="659" ht="14.25" customHeight="1" x14ac:dyDescent="0.2"/>
    <row r="660" ht="14.25" customHeight="1" x14ac:dyDescent="0.2"/>
    <row r="661" ht="14.25" customHeight="1" x14ac:dyDescent="0.2"/>
    <row r="662" ht="14.25" customHeight="1" x14ac:dyDescent="0.2"/>
    <row r="663" ht="14.25" customHeight="1" x14ac:dyDescent="0.2"/>
    <row r="664" ht="14.25" customHeight="1" x14ac:dyDescent="0.2"/>
    <row r="665" ht="14.25" customHeight="1" x14ac:dyDescent="0.2"/>
    <row r="666" ht="14.25" customHeight="1" x14ac:dyDescent="0.2"/>
    <row r="667" ht="14.25" customHeight="1" x14ac:dyDescent="0.2"/>
    <row r="668" ht="14.25" customHeight="1" x14ac:dyDescent="0.2"/>
    <row r="669" ht="14.25" customHeight="1" x14ac:dyDescent="0.2"/>
    <row r="670" ht="14.25" customHeight="1" x14ac:dyDescent="0.2"/>
    <row r="671" ht="14.25" customHeight="1" x14ac:dyDescent="0.2"/>
    <row r="672" ht="14.25" customHeight="1" x14ac:dyDescent="0.2"/>
    <row r="673" ht="14.25" customHeight="1" x14ac:dyDescent="0.2"/>
    <row r="674" ht="14.25" customHeight="1" x14ac:dyDescent="0.2"/>
    <row r="675" ht="14.25" customHeight="1" x14ac:dyDescent="0.2"/>
    <row r="676" ht="14.25" customHeight="1" x14ac:dyDescent="0.2"/>
    <row r="677" ht="14.25" customHeight="1" x14ac:dyDescent="0.2"/>
    <row r="678" ht="14.25" customHeight="1" x14ac:dyDescent="0.2"/>
    <row r="679" ht="14.25" customHeight="1" x14ac:dyDescent="0.2"/>
    <row r="680" ht="14.25" customHeight="1" x14ac:dyDescent="0.2"/>
    <row r="681" ht="14.25" customHeight="1" x14ac:dyDescent="0.2"/>
    <row r="682" ht="14.25" customHeight="1" x14ac:dyDescent="0.2"/>
    <row r="683" ht="14.25" customHeight="1" x14ac:dyDescent="0.2"/>
    <row r="684" ht="14.25" customHeight="1" x14ac:dyDescent="0.2"/>
    <row r="685" ht="14.25" customHeight="1" x14ac:dyDescent="0.2"/>
    <row r="686" ht="14.25" customHeight="1" x14ac:dyDescent="0.2"/>
    <row r="687" ht="14.25" customHeight="1" x14ac:dyDescent="0.2"/>
    <row r="688" ht="14.25" customHeight="1" x14ac:dyDescent="0.2"/>
    <row r="689" ht="14.25" customHeight="1" x14ac:dyDescent="0.2"/>
    <row r="690" ht="14.25" customHeight="1" x14ac:dyDescent="0.2"/>
    <row r="691" ht="14.25" customHeight="1" x14ac:dyDescent="0.2"/>
    <row r="692" ht="14.25" customHeight="1" x14ac:dyDescent="0.2"/>
    <row r="693" ht="14.25" customHeight="1" x14ac:dyDescent="0.2"/>
    <row r="694" ht="14.25" customHeight="1" x14ac:dyDescent="0.2"/>
    <row r="695" ht="14.25" customHeight="1" x14ac:dyDescent="0.2"/>
    <row r="696" ht="14.25" customHeight="1" x14ac:dyDescent="0.2"/>
    <row r="697" ht="14.25" customHeight="1" x14ac:dyDescent="0.2"/>
    <row r="698" ht="14.25" customHeight="1" x14ac:dyDescent="0.2"/>
    <row r="699" ht="14.25" customHeight="1" x14ac:dyDescent="0.2"/>
    <row r="700" ht="14.25" customHeight="1" x14ac:dyDescent="0.2"/>
    <row r="701" ht="14.25" customHeight="1" x14ac:dyDescent="0.2"/>
    <row r="702" ht="14.25" customHeight="1" x14ac:dyDescent="0.2"/>
    <row r="703" ht="14.25" customHeight="1" x14ac:dyDescent="0.2"/>
    <row r="704" ht="14.25" customHeight="1" x14ac:dyDescent="0.2"/>
    <row r="705" ht="14.25" customHeight="1" x14ac:dyDescent="0.2"/>
    <row r="706" ht="14.25" customHeight="1" x14ac:dyDescent="0.2"/>
    <row r="707" ht="14.25" customHeight="1" x14ac:dyDescent="0.2"/>
    <row r="708" ht="14.25" customHeight="1" x14ac:dyDescent="0.2"/>
    <row r="709" ht="14.25" customHeight="1" x14ac:dyDescent="0.2"/>
    <row r="710" ht="14.25" customHeight="1" x14ac:dyDescent="0.2"/>
    <row r="711" ht="14.25" customHeight="1" x14ac:dyDescent="0.2"/>
    <row r="712" ht="14.25" customHeight="1" x14ac:dyDescent="0.2"/>
    <row r="713" ht="14.25" customHeight="1" x14ac:dyDescent="0.2"/>
    <row r="714" ht="14.25" customHeight="1" x14ac:dyDescent="0.2"/>
    <row r="715" ht="14.25" customHeight="1" x14ac:dyDescent="0.2"/>
    <row r="716" ht="14.25" customHeight="1" x14ac:dyDescent="0.2"/>
    <row r="717" ht="14.25" customHeight="1" x14ac:dyDescent="0.2"/>
    <row r="718" ht="14.25" customHeight="1" x14ac:dyDescent="0.2"/>
    <row r="719" ht="14.25" customHeight="1" x14ac:dyDescent="0.2"/>
    <row r="720" ht="14.25" customHeight="1" x14ac:dyDescent="0.2"/>
    <row r="721" ht="14.25" customHeight="1" x14ac:dyDescent="0.2"/>
    <row r="722" ht="14.25" customHeight="1" x14ac:dyDescent="0.2"/>
    <row r="723" ht="14.25" customHeight="1" x14ac:dyDescent="0.2"/>
    <row r="724" ht="14.25" customHeight="1" x14ac:dyDescent="0.2"/>
    <row r="725" ht="14.25" customHeight="1" x14ac:dyDescent="0.2"/>
    <row r="726" ht="14.25" customHeight="1" x14ac:dyDescent="0.2"/>
    <row r="727" ht="14.25" customHeight="1" x14ac:dyDescent="0.2"/>
    <row r="728" ht="14.25" customHeight="1" x14ac:dyDescent="0.2"/>
    <row r="729" ht="14.25" customHeight="1" x14ac:dyDescent="0.2"/>
    <row r="730" ht="14.25" customHeight="1" x14ac:dyDescent="0.2"/>
    <row r="731" ht="14.25" customHeight="1" x14ac:dyDescent="0.2"/>
    <row r="732" ht="14.25" customHeight="1" x14ac:dyDescent="0.2"/>
    <row r="733" ht="14.25" customHeight="1" x14ac:dyDescent="0.2"/>
    <row r="734" ht="14.25" customHeight="1" x14ac:dyDescent="0.2"/>
    <row r="735" ht="14.25" customHeight="1" x14ac:dyDescent="0.2"/>
    <row r="736" ht="14.25" customHeight="1" x14ac:dyDescent="0.2"/>
    <row r="737" ht="14.25" customHeight="1" x14ac:dyDescent="0.2"/>
    <row r="738" ht="14.25" customHeight="1" x14ac:dyDescent="0.2"/>
    <row r="739" ht="14.25" customHeight="1" x14ac:dyDescent="0.2"/>
    <row r="740" ht="14.25" customHeight="1" x14ac:dyDescent="0.2"/>
    <row r="741" ht="14.25" customHeight="1" x14ac:dyDescent="0.2"/>
    <row r="742" ht="14.25" customHeight="1" x14ac:dyDescent="0.2"/>
    <row r="743" ht="14.25" customHeight="1" x14ac:dyDescent="0.2"/>
    <row r="744" ht="14.25" customHeight="1" x14ac:dyDescent="0.2"/>
    <row r="745" ht="14.25" customHeight="1" x14ac:dyDescent="0.2"/>
    <row r="746" ht="14.25" customHeight="1" x14ac:dyDescent="0.2"/>
    <row r="747" ht="14.25" customHeight="1" x14ac:dyDescent="0.2"/>
    <row r="748" ht="14.25" customHeight="1" x14ac:dyDescent="0.2"/>
    <row r="749" ht="14.25" customHeight="1" x14ac:dyDescent="0.2"/>
    <row r="750" ht="14.25" customHeight="1" x14ac:dyDescent="0.2"/>
    <row r="751" ht="14.25" customHeight="1" x14ac:dyDescent="0.2"/>
    <row r="752" ht="14.25" customHeight="1" x14ac:dyDescent="0.2"/>
    <row r="753" ht="14.25" customHeight="1" x14ac:dyDescent="0.2"/>
    <row r="754" ht="14.25" customHeight="1" x14ac:dyDescent="0.2"/>
    <row r="755" ht="14.25" customHeight="1" x14ac:dyDescent="0.2"/>
    <row r="756" ht="14.25" customHeight="1" x14ac:dyDescent="0.2"/>
    <row r="757" ht="14.25" customHeight="1" x14ac:dyDescent="0.2"/>
    <row r="758" ht="14.25" customHeight="1" x14ac:dyDescent="0.2"/>
    <row r="759" ht="14.25" customHeight="1" x14ac:dyDescent="0.2"/>
    <row r="760" ht="14.25" customHeight="1" x14ac:dyDescent="0.2"/>
    <row r="761" ht="14.25" customHeight="1" x14ac:dyDescent="0.2"/>
    <row r="762" ht="14.25" customHeight="1" x14ac:dyDescent="0.2"/>
    <row r="763" ht="14.25" customHeight="1" x14ac:dyDescent="0.2"/>
    <row r="764" ht="14.25" customHeight="1" x14ac:dyDescent="0.2"/>
    <row r="765" ht="14.25" customHeight="1" x14ac:dyDescent="0.2"/>
    <row r="766" ht="14.25" customHeight="1" x14ac:dyDescent="0.2"/>
    <row r="767" ht="14.25" customHeight="1" x14ac:dyDescent="0.2"/>
    <row r="768" ht="14.25" customHeight="1" x14ac:dyDescent="0.2"/>
    <row r="769" ht="14.25" customHeight="1" x14ac:dyDescent="0.2"/>
    <row r="770" ht="14.25" customHeight="1" x14ac:dyDescent="0.2"/>
    <row r="771" ht="14.25" customHeight="1" x14ac:dyDescent="0.2"/>
    <row r="772" ht="14.25" customHeight="1" x14ac:dyDescent="0.2"/>
    <row r="773" ht="14.25" customHeight="1" x14ac:dyDescent="0.2"/>
    <row r="774" ht="14.25" customHeight="1" x14ac:dyDescent="0.2"/>
    <row r="775" ht="14.25" customHeight="1" x14ac:dyDescent="0.2"/>
    <row r="776" ht="14.25" customHeight="1" x14ac:dyDescent="0.2"/>
    <row r="777" ht="14.25" customHeight="1" x14ac:dyDescent="0.2"/>
    <row r="778" ht="14.25" customHeight="1" x14ac:dyDescent="0.2"/>
    <row r="779" ht="14.25" customHeight="1" x14ac:dyDescent="0.2"/>
    <row r="780" ht="14.25" customHeight="1" x14ac:dyDescent="0.2"/>
    <row r="781" ht="14.25" customHeight="1" x14ac:dyDescent="0.2"/>
    <row r="782" ht="14.25" customHeight="1" x14ac:dyDescent="0.2"/>
    <row r="783" ht="14.25" customHeight="1" x14ac:dyDescent="0.2"/>
    <row r="784" ht="14.25" customHeight="1" x14ac:dyDescent="0.2"/>
    <row r="785" ht="14.25" customHeight="1" x14ac:dyDescent="0.2"/>
    <row r="786" ht="14.25" customHeight="1" x14ac:dyDescent="0.2"/>
    <row r="787" ht="14.25" customHeight="1" x14ac:dyDescent="0.2"/>
    <row r="788" ht="14.25" customHeight="1" x14ac:dyDescent="0.2"/>
    <row r="789" ht="14.25" customHeight="1" x14ac:dyDescent="0.2"/>
    <row r="790" ht="14.25" customHeight="1" x14ac:dyDescent="0.2"/>
    <row r="791" ht="14.25" customHeight="1" x14ac:dyDescent="0.2"/>
    <row r="792" ht="14.25" customHeight="1" x14ac:dyDescent="0.2"/>
    <row r="793" ht="14.25" customHeight="1" x14ac:dyDescent="0.2"/>
    <row r="794" ht="14.25" customHeight="1" x14ac:dyDescent="0.2"/>
    <row r="795" ht="14.25" customHeight="1" x14ac:dyDescent="0.2"/>
    <row r="796" ht="14.25" customHeight="1" x14ac:dyDescent="0.2"/>
    <row r="797" ht="14.25" customHeight="1" x14ac:dyDescent="0.2"/>
    <row r="798" ht="14.25" customHeight="1" x14ac:dyDescent="0.2"/>
    <row r="799" ht="14.25" customHeight="1" x14ac:dyDescent="0.2"/>
    <row r="800" ht="14.25" customHeight="1" x14ac:dyDescent="0.2"/>
    <row r="801" ht="14.25" customHeight="1" x14ac:dyDescent="0.2"/>
    <row r="802" ht="14.25" customHeight="1" x14ac:dyDescent="0.2"/>
    <row r="803" ht="14.25" customHeight="1" x14ac:dyDescent="0.2"/>
    <row r="804" ht="14.25" customHeight="1" x14ac:dyDescent="0.2"/>
    <row r="805" ht="14.25" customHeight="1" x14ac:dyDescent="0.2"/>
    <row r="806" ht="14.25" customHeight="1" x14ac:dyDescent="0.2"/>
    <row r="807" ht="14.25" customHeight="1" x14ac:dyDescent="0.2"/>
    <row r="808" ht="14.25" customHeight="1" x14ac:dyDescent="0.2"/>
    <row r="809" ht="14.25" customHeight="1" x14ac:dyDescent="0.2"/>
    <row r="810" ht="14.25" customHeight="1" x14ac:dyDescent="0.2"/>
    <row r="811" ht="14.25" customHeight="1" x14ac:dyDescent="0.2"/>
    <row r="812" ht="14.25" customHeight="1" x14ac:dyDescent="0.2"/>
    <row r="813" ht="14.25" customHeight="1" x14ac:dyDescent="0.2"/>
    <row r="814" ht="14.25" customHeight="1" x14ac:dyDescent="0.2"/>
    <row r="815" ht="14.25" customHeight="1" x14ac:dyDescent="0.2"/>
    <row r="816" ht="14.25" customHeight="1" x14ac:dyDescent="0.2"/>
    <row r="817" ht="14.25" customHeight="1" x14ac:dyDescent="0.2"/>
    <row r="818" ht="14.25" customHeight="1" x14ac:dyDescent="0.2"/>
    <row r="819" ht="14.25" customHeight="1" x14ac:dyDescent="0.2"/>
    <row r="820" ht="14.25" customHeight="1" x14ac:dyDescent="0.2"/>
    <row r="821" ht="14.25" customHeight="1" x14ac:dyDescent="0.2"/>
    <row r="822" ht="14.25" customHeight="1" x14ac:dyDescent="0.2"/>
    <row r="823" ht="14.25" customHeight="1" x14ac:dyDescent="0.2"/>
    <row r="824" ht="14.25" customHeight="1" x14ac:dyDescent="0.2"/>
    <row r="825" ht="14.25" customHeight="1" x14ac:dyDescent="0.2"/>
    <row r="826" ht="14.25" customHeight="1" x14ac:dyDescent="0.2"/>
    <row r="827" ht="14.25" customHeight="1" x14ac:dyDescent="0.2"/>
    <row r="828" ht="14.25" customHeight="1" x14ac:dyDescent="0.2"/>
    <row r="829" ht="14.25" customHeight="1" x14ac:dyDescent="0.2"/>
    <row r="830" ht="14.25" customHeight="1" x14ac:dyDescent="0.2"/>
    <row r="831" ht="14.25" customHeight="1" x14ac:dyDescent="0.2"/>
    <row r="832" ht="14.25" customHeight="1" x14ac:dyDescent="0.2"/>
    <row r="833" ht="14.25" customHeight="1" x14ac:dyDescent="0.2"/>
    <row r="834" ht="14.25" customHeight="1" x14ac:dyDescent="0.2"/>
    <row r="835" ht="14.25" customHeight="1" x14ac:dyDescent="0.2"/>
    <row r="836" ht="14.25" customHeight="1" x14ac:dyDescent="0.2"/>
    <row r="837" ht="14.25" customHeight="1" x14ac:dyDescent="0.2"/>
    <row r="838" ht="14.25" customHeight="1" x14ac:dyDescent="0.2"/>
    <row r="839" ht="14.25" customHeight="1" x14ac:dyDescent="0.2"/>
    <row r="840" ht="14.25" customHeight="1" x14ac:dyDescent="0.2"/>
    <row r="841" ht="14.25" customHeight="1" x14ac:dyDescent="0.2"/>
    <row r="842" ht="14.25" customHeight="1" x14ac:dyDescent="0.2"/>
    <row r="843" ht="14.25" customHeight="1" x14ac:dyDescent="0.2"/>
    <row r="844" ht="14.25" customHeight="1" x14ac:dyDescent="0.2"/>
    <row r="845" ht="14.25" customHeight="1" x14ac:dyDescent="0.2"/>
    <row r="846" ht="14.25" customHeight="1" x14ac:dyDescent="0.2"/>
    <row r="847" ht="14.25" customHeight="1" x14ac:dyDescent="0.2"/>
    <row r="848" ht="14.25" customHeight="1" x14ac:dyDescent="0.2"/>
    <row r="849" ht="14.25" customHeight="1" x14ac:dyDescent="0.2"/>
    <row r="850" ht="14.25" customHeight="1" x14ac:dyDescent="0.2"/>
    <row r="851" ht="14.25" customHeight="1" x14ac:dyDescent="0.2"/>
    <row r="852" ht="14.25" customHeight="1" x14ac:dyDescent="0.2"/>
    <row r="853" ht="14.25" customHeight="1" x14ac:dyDescent="0.2"/>
    <row r="854" ht="14.25" customHeight="1" x14ac:dyDescent="0.2"/>
    <row r="855" ht="14.25" customHeight="1" x14ac:dyDescent="0.2"/>
    <row r="856" ht="14.25" customHeight="1" x14ac:dyDescent="0.2"/>
    <row r="857" ht="14.25" customHeight="1" x14ac:dyDescent="0.2"/>
    <row r="858" ht="14.25" customHeight="1" x14ac:dyDescent="0.2"/>
    <row r="859" ht="14.25" customHeight="1" x14ac:dyDescent="0.2"/>
    <row r="860" ht="14.25" customHeight="1" x14ac:dyDescent="0.2"/>
    <row r="861" ht="14.25" customHeight="1" x14ac:dyDescent="0.2"/>
    <row r="862" ht="14.25" customHeight="1" x14ac:dyDescent="0.2"/>
    <row r="863" ht="14.25" customHeight="1" x14ac:dyDescent="0.2"/>
    <row r="864" ht="14.25" customHeight="1" x14ac:dyDescent="0.2"/>
    <row r="865" ht="14.25" customHeight="1" x14ac:dyDescent="0.2"/>
    <row r="866" ht="14.25" customHeight="1" x14ac:dyDescent="0.2"/>
    <row r="867" ht="14.25" customHeight="1" x14ac:dyDescent="0.2"/>
    <row r="868" ht="14.25" customHeight="1" x14ac:dyDescent="0.2"/>
    <row r="869" ht="14.25" customHeight="1" x14ac:dyDescent="0.2"/>
    <row r="870" ht="14.25" customHeight="1" x14ac:dyDescent="0.2"/>
    <row r="871" ht="14.25" customHeight="1" x14ac:dyDescent="0.2"/>
    <row r="872" ht="14.25" customHeight="1" x14ac:dyDescent="0.2"/>
    <row r="873" ht="14.25" customHeight="1" x14ac:dyDescent="0.2"/>
    <row r="874" ht="14.25" customHeight="1" x14ac:dyDescent="0.2"/>
    <row r="875" ht="14.25" customHeight="1" x14ac:dyDescent="0.2"/>
    <row r="876" ht="14.25" customHeight="1" x14ac:dyDescent="0.2"/>
    <row r="877" ht="14.25" customHeight="1" x14ac:dyDescent="0.2"/>
    <row r="878" ht="14.25" customHeight="1" x14ac:dyDescent="0.2"/>
    <row r="879" ht="14.25" customHeight="1" x14ac:dyDescent="0.2"/>
    <row r="880" ht="14.25" customHeight="1" x14ac:dyDescent="0.2"/>
    <row r="881" ht="14.25" customHeight="1" x14ac:dyDescent="0.2"/>
    <row r="882" ht="14.25" customHeight="1" x14ac:dyDescent="0.2"/>
    <row r="883" ht="14.25" customHeight="1" x14ac:dyDescent="0.2"/>
    <row r="884" ht="14.25" customHeight="1" x14ac:dyDescent="0.2"/>
    <row r="885" ht="14.25" customHeight="1" x14ac:dyDescent="0.2"/>
    <row r="886" ht="14.25" customHeight="1" x14ac:dyDescent="0.2"/>
    <row r="887" ht="14.25" customHeight="1" x14ac:dyDescent="0.2"/>
    <row r="888" ht="14.25" customHeight="1" x14ac:dyDescent="0.2"/>
    <row r="889" ht="14.25" customHeight="1" x14ac:dyDescent="0.2"/>
    <row r="890" ht="14.25" customHeight="1" x14ac:dyDescent="0.2"/>
    <row r="891" ht="14.25" customHeight="1" x14ac:dyDescent="0.2"/>
    <row r="892" ht="14.25" customHeight="1" x14ac:dyDescent="0.2"/>
    <row r="893" ht="14.25" customHeight="1" x14ac:dyDescent="0.2"/>
    <row r="894" ht="14.25" customHeight="1" x14ac:dyDescent="0.2"/>
    <row r="895" ht="14.25" customHeight="1" x14ac:dyDescent="0.2"/>
    <row r="896" ht="14.25" customHeight="1" x14ac:dyDescent="0.2"/>
    <row r="897" ht="14.25" customHeight="1" x14ac:dyDescent="0.2"/>
    <row r="898" ht="14.25" customHeight="1" x14ac:dyDescent="0.2"/>
    <row r="899" ht="14.25" customHeight="1" x14ac:dyDescent="0.2"/>
    <row r="900" ht="14.25" customHeight="1" x14ac:dyDescent="0.2"/>
    <row r="901" ht="14.25" customHeight="1" x14ac:dyDescent="0.2"/>
    <row r="902" ht="14.25" customHeight="1" x14ac:dyDescent="0.2"/>
    <row r="903" ht="14.25" customHeight="1" x14ac:dyDescent="0.2"/>
    <row r="904" ht="14.25" customHeight="1" x14ac:dyDescent="0.2"/>
    <row r="905" ht="14.25" customHeight="1" x14ac:dyDescent="0.2"/>
    <row r="906" ht="14.25" customHeight="1" x14ac:dyDescent="0.2"/>
    <row r="907" ht="14.25" customHeight="1" x14ac:dyDescent="0.2"/>
    <row r="908" ht="14.25" customHeight="1" x14ac:dyDescent="0.2"/>
    <row r="909" ht="14.25" customHeight="1" x14ac:dyDescent="0.2"/>
    <row r="910" ht="14.25" customHeight="1" x14ac:dyDescent="0.2"/>
    <row r="911" ht="14.25" customHeight="1" x14ac:dyDescent="0.2"/>
    <row r="912" ht="14.25" customHeight="1" x14ac:dyDescent="0.2"/>
    <row r="913" ht="14.25" customHeight="1" x14ac:dyDescent="0.2"/>
    <row r="914" ht="14.25" customHeight="1" x14ac:dyDescent="0.2"/>
    <row r="915" ht="14.25" customHeight="1" x14ac:dyDescent="0.2"/>
    <row r="916" ht="14.25" customHeight="1" x14ac:dyDescent="0.2"/>
    <row r="917" ht="14.25" customHeight="1" x14ac:dyDescent="0.2"/>
    <row r="918" ht="14.25" customHeight="1" x14ac:dyDescent="0.2"/>
    <row r="919" ht="14.25" customHeight="1" x14ac:dyDescent="0.2"/>
    <row r="920" ht="14.25" customHeight="1" x14ac:dyDescent="0.2"/>
    <row r="921" ht="14.25" customHeight="1" x14ac:dyDescent="0.2"/>
    <row r="922" ht="14.25" customHeight="1" x14ac:dyDescent="0.2"/>
    <row r="923" ht="14.25" customHeight="1" x14ac:dyDescent="0.2"/>
    <row r="924" ht="14.25" customHeight="1" x14ac:dyDescent="0.2"/>
    <row r="925" ht="14.25" customHeight="1" x14ac:dyDescent="0.2"/>
    <row r="926" ht="14.25" customHeight="1" x14ac:dyDescent="0.2"/>
    <row r="927" ht="14.25" customHeight="1" x14ac:dyDescent="0.2"/>
    <row r="928" ht="14.25" customHeight="1" x14ac:dyDescent="0.2"/>
    <row r="929" ht="14.25" customHeight="1" x14ac:dyDescent="0.2"/>
    <row r="930" ht="14.25" customHeight="1" x14ac:dyDescent="0.2"/>
    <row r="931" ht="14.25" customHeight="1" x14ac:dyDescent="0.2"/>
    <row r="932" ht="14.25" customHeight="1" x14ac:dyDescent="0.2"/>
    <row r="933" ht="14.25" customHeight="1" x14ac:dyDescent="0.2"/>
    <row r="934" ht="14.25" customHeight="1" x14ac:dyDescent="0.2"/>
    <row r="935" ht="14.25" customHeight="1" x14ac:dyDescent="0.2"/>
    <row r="936" ht="14.25" customHeight="1" x14ac:dyDescent="0.2"/>
    <row r="937" ht="14.25" customHeight="1" x14ac:dyDescent="0.2"/>
    <row r="938" ht="14.25" customHeight="1" x14ac:dyDescent="0.2"/>
    <row r="939" ht="14.25" customHeight="1" x14ac:dyDescent="0.2"/>
    <row r="940" ht="14.25" customHeight="1" x14ac:dyDescent="0.2"/>
    <row r="941" ht="14.25" customHeight="1" x14ac:dyDescent="0.2"/>
    <row r="942" ht="14.25" customHeight="1" x14ac:dyDescent="0.2"/>
    <row r="943" ht="14.25" customHeight="1" x14ac:dyDescent="0.2"/>
    <row r="944" ht="14.25" customHeight="1" x14ac:dyDescent="0.2"/>
    <row r="945" ht="14.25" customHeight="1" x14ac:dyDescent="0.2"/>
    <row r="946" ht="14.25" customHeight="1" x14ac:dyDescent="0.2"/>
    <row r="947" ht="14.25" customHeight="1" x14ac:dyDescent="0.2"/>
    <row r="948" ht="14.25" customHeight="1" x14ac:dyDescent="0.2"/>
    <row r="949" ht="14.25" customHeight="1" x14ac:dyDescent="0.2"/>
    <row r="950" ht="14.25" customHeight="1" x14ac:dyDescent="0.2"/>
    <row r="951" ht="14.25" customHeight="1" x14ac:dyDescent="0.2"/>
    <row r="952" ht="14.25" customHeight="1" x14ac:dyDescent="0.2"/>
    <row r="953" ht="14.25" customHeight="1" x14ac:dyDescent="0.2"/>
    <row r="954" ht="14.25" customHeight="1" x14ac:dyDescent="0.2"/>
    <row r="955" ht="14.25" customHeight="1" x14ac:dyDescent="0.2"/>
    <row r="956" ht="14.25" customHeight="1" x14ac:dyDescent="0.2"/>
    <row r="957" ht="14.25" customHeight="1" x14ac:dyDescent="0.2"/>
  </sheetData>
  <mergeCells count="2">
    <mergeCell ref="A1:G2"/>
    <mergeCell ref="A24:E24"/>
  </mergeCells>
  <conditionalFormatting sqref="B5:B23">
    <cfRule type="timePeriod" dxfId="1" priority="1" timePeriod="today">
      <formula>FLOOR(B5,1)=TODAY()</formula>
    </cfRule>
    <cfRule type="notContainsBlanks" dxfId="0" priority="2">
      <formula>LEN(TRIM(B5))&gt;0</formula>
    </cfRule>
  </conditionalFormatting>
  <pageMargins left="0.7" right="0.7" top="0.75" bottom="0.75" header="0" footer="0"/>
  <pageSetup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061E4E-9879-4257-A555-D6F92106C14F}">
  <dimension ref="A1"/>
  <sheetViews>
    <sheetView workbookViewId="0"/>
  </sheetViews>
  <sheetFormatPr baseColWidth="10" defaultColWidth="8.83203125" defaultRowHeight="15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Keuangan</dc:creator>
  <cp:lastModifiedBy>Sanda Saputra</cp:lastModifiedBy>
  <cp:lastPrinted>2023-01-29T15:59:12Z</cp:lastPrinted>
  <dcterms:created xsi:type="dcterms:W3CDTF">2017-03-28T10:07:19Z</dcterms:created>
  <dcterms:modified xsi:type="dcterms:W3CDTF">2026-07-20T05:29:04Z</dcterms:modified>
</cp:coreProperties>
</file>